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GC BUILD\"/>
    </mc:Choice>
  </mc:AlternateContent>
  <xr:revisionPtr revIDLastSave="0" documentId="8_{C598D0BE-C9F0-4122-89AE-E0D3902C2D0A}" xr6:coauthVersionLast="47" xr6:coauthVersionMax="47" xr10:uidLastSave="{00000000-0000-0000-0000-000000000000}"/>
  <bookViews>
    <workbookView xWindow="19090" yWindow="-110" windowWidth="38620" windowHeight="21100" tabRatio="500" activeTab="3" xr2:uid="{00000000-000D-0000-FFFF-FFFF00000000}"/>
  </bookViews>
  <sheets>
    <sheet name="README" sheetId="1" r:id="rId1"/>
    <sheet name="1 Vehicle" sheetId="2" r:id="rId2"/>
    <sheet name="2 Property" sheetId="3" r:id="rId3"/>
    <sheet name="3 Capital stack" sheetId="4" r:id="rId4"/>
    <sheet name="4 Units &amp; ladder" sheetId="5" r:id="rId5"/>
    <sheet name="5 Operating &amp; waterfall" sheetId="6" r:id="rId6"/>
    <sheet name="6 Time" sheetId="7" r:id="rId7"/>
    <sheet name="7 Governance" sheetId="8" r:id="rId8"/>
    <sheet name="8 Programme" sheetId="9" r:id="rId9"/>
    <sheet name="9 Risk disclosure" sheetId="10" r:id="rId10"/>
    <sheet name="10 Plates" sheetId="11" r:id="rId11"/>
    <sheet name="VALIDATION" sheetId="12" r:id="rId12"/>
    <sheet name="RETIRING" sheetId="13" r:id="rId13"/>
    <sheet name="FIELD MAP"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6" i="6" l="1"/>
  <c r="M6" i="5"/>
  <c r="M7" i="5"/>
  <c r="L7" i="5" s="1"/>
  <c r="G7" i="12" s="1"/>
  <c r="M5" i="5"/>
  <c r="K6" i="5"/>
  <c r="K7" i="5"/>
  <c r="K5" i="5"/>
  <c r="I7" i="5"/>
  <c r="I6" i="5"/>
  <c r="I5" i="5"/>
  <c r="G25" i="12"/>
  <c r="D25" i="12"/>
  <c r="B25" i="12"/>
  <c r="A25" i="12"/>
  <c r="G24" i="12"/>
  <c r="E24" i="12"/>
  <c r="D24" i="12"/>
  <c r="B24" i="12"/>
  <c r="A24" i="12"/>
  <c r="G23" i="12"/>
  <c r="D23" i="12"/>
  <c r="B23" i="12"/>
  <c r="A23" i="12"/>
  <c r="G22" i="12"/>
  <c r="E22" i="12"/>
  <c r="D22" i="12"/>
  <c r="B22" i="12"/>
  <c r="A22" i="12"/>
  <c r="G21" i="12"/>
  <c r="D21" i="12"/>
  <c r="B21" i="12"/>
  <c r="A21" i="12"/>
  <c r="G20" i="12"/>
  <c r="D20" i="12"/>
  <c r="B20" i="12"/>
  <c r="A20" i="12"/>
  <c r="G19" i="12"/>
  <c r="E19" i="12"/>
  <c r="D19" i="12"/>
  <c r="B19" i="12"/>
  <c r="A19" i="12"/>
  <c r="G18" i="12"/>
  <c r="E18" i="12"/>
  <c r="D18" i="12"/>
  <c r="B18" i="12"/>
  <c r="A18" i="12"/>
  <c r="G17" i="12"/>
  <c r="E17" i="12"/>
  <c r="D17" i="12"/>
  <c r="B17" i="12"/>
  <c r="A17" i="12"/>
  <c r="G16" i="12"/>
  <c r="D16" i="12"/>
  <c r="B16" i="12"/>
  <c r="A16" i="12"/>
  <c r="G15" i="12"/>
  <c r="D15" i="12"/>
  <c r="B15" i="12"/>
  <c r="A15" i="12"/>
  <c r="G14" i="12"/>
  <c r="E14" i="12"/>
  <c r="D14" i="12"/>
  <c r="B14" i="12"/>
  <c r="A14" i="12"/>
  <c r="G13" i="12"/>
  <c r="E13" i="12"/>
  <c r="D13" i="12"/>
  <c r="B13" i="12"/>
  <c r="A13" i="12"/>
  <c r="G12" i="12"/>
  <c r="E12" i="12"/>
  <c r="D12" i="12"/>
  <c r="B12" i="12"/>
  <c r="A12" i="12"/>
  <c r="G11" i="12"/>
  <c r="D11" i="12"/>
  <c r="B11" i="12"/>
  <c r="A11" i="12"/>
  <c r="G10" i="12"/>
  <c r="E10" i="12"/>
  <c r="D10" i="12"/>
  <c r="B10" i="12"/>
  <c r="A10" i="12"/>
  <c r="G9" i="12"/>
  <c r="D9" i="12"/>
  <c r="B9" i="12"/>
  <c r="A9" i="12"/>
  <c r="G8" i="12"/>
  <c r="D8" i="12"/>
  <c r="B8" i="12"/>
  <c r="A8" i="12"/>
  <c r="D7" i="12"/>
  <c r="B7" i="12"/>
  <c r="A7" i="12"/>
  <c r="G6" i="12"/>
  <c r="D6" i="12"/>
  <c r="B6" i="12"/>
  <c r="A6" i="12"/>
  <c r="E5" i="12"/>
  <c r="D5" i="12"/>
  <c r="B5" i="12"/>
  <c r="A5" i="12"/>
  <c r="D25" i="7"/>
  <c r="F25" i="12" s="1"/>
  <c r="D24" i="7"/>
  <c r="F24" i="12" s="1"/>
  <c r="D23" i="7"/>
  <c r="F23" i="12" s="1"/>
  <c r="D22" i="7"/>
  <c r="F22" i="12" s="1"/>
  <c r="D21" i="7"/>
  <c r="F21" i="12" s="1"/>
  <c r="D20" i="7"/>
  <c r="F20" i="12" s="1"/>
  <c r="D19" i="7"/>
  <c r="F19" i="12" s="1"/>
  <c r="D18" i="7"/>
  <c r="F18" i="12" s="1"/>
  <c r="D17" i="7"/>
  <c r="F17" i="12" s="1"/>
  <c r="D16" i="7"/>
  <c r="F16" i="12" s="1"/>
  <c r="D15" i="7"/>
  <c r="F15" i="12" s="1"/>
  <c r="D14" i="7"/>
  <c r="F14" i="12" s="1"/>
  <c r="D13" i="7"/>
  <c r="F13" i="12" s="1"/>
  <c r="D12" i="7"/>
  <c r="F12" i="12" s="1"/>
  <c r="D11" i="7"/>
  <c r="F11" i="12" s="1"/>
  <c r="D10" i="7"/>
  <c r="F10" i="12" s="1"/>
  <c r="D9" i="7"/>
  <c r="F9" i="12" s="1"/>
  <c r="D8" i="7"/>
  <c r="F8" i="12" s="1"/>
  <c r="D7" i="7"/>
  <c r="F7" i="12" s="1"/>
  <c r="D6" i="7"/>
  <c r="F6" i="12" s="1"/>
  <c r="D5" i="7"/>
  <c r="F5" i="12" s="1"/>
  <c r="J25" i="6"/>
  <c r="E25" i="12" s="1"/>
  <c r="D25" i="6"/>
  <c r="J24" i="6"/>
  <c r="D24" i="6"/>
  <c r="J23" i="6"/>
  <c r="E23" i="12" s="1"/>
  <c r="D23" i="6"/>
  <c r="J22" i="6"/>
  <c r="D22" i="6"/>
  <c r="J21" i="6"/>
  <c r="E21" i="12" s="1"/>
  <c r="D21" i="6"/>
  <c r="J20" i="6"/>
  <c r="E20" i="12" s="1"/>
  <c r="D20" i="6"/>
  <c r="J19" i="6"/>
  <c r="D19" i="6"/>
  <c r="J18" i="6"/>
  <c r="D18" i="6"/>
  <c r="J17" i="6"/>
  <c r="D17" i="6"/>
  <c r="J16" i="6"/>
  <c r="E16" i="12" s="1"/>
  <c r="D16" i="6"/>
  <c r="J15" i="6"/>
  <c r="E15" i="12" s="1"/>
  <c r="D15" i="6"/>
  <c r="J14" i="6"/>
  <c r="D14" i="6"/>
  <c r="J13" i="6"/>
  <c r="D13" i="6"/>
  <c r="J12" i="6"/>
  <c r="D12" i="6"/>
  <c r="J11" i="6"/>
  <c r="E11" i="12" s="1"/>
  <c r="D11" i="6"/>
  <c r="J10" i="6"/>
  <c r="D10" i="6"/>
  <c r="J9" i="6"/>
  <c r="E9" i="12" s="1"/>
  <c r="D9" i="6"/>
  <c r="J8" i="6"/>
  <c r="E8" i="12" s="1"/>
  <c r="D8" i="6"/>
  <c r="J7" i="6"/>
  <c r="E7" i="12" s="1"/>
  <c r="D7" i="6"/>
  <c r="E6" i="12"/>
  <c r="D6" i="6"/>
  <c r="J5" i="6"/>
  <c r="D5" i="6"/>
  <c r="M25" i="5"/>
  <c r="C25" i="12" s="1"/>
  <c r="M24" i="5"/>
  <c r="C24" i="12" s="1"/>
  <c r="M23" i="5"/>
  <c r="C23" i="12" s="1"/>
  <c r="M22" i="5"/>
  <c r="C22" i="12" s="1"/>
  <c r="M21" i="5"/>
  <c r="C21" i="12" s="1"/>
  <c r="M20" i="5"/>
  <c r="C20" i="12" s="1"/>
  <c r="M19" i="5"/>
  <c r="C19" i="12" s="1"/>
  <c r="M18" i="5"/>
  <c r="C18" i="12" s="1"/>
  <c r="M17" i="5"/>
  <c r="C17" i="12" s="1"/>
  <c r="M16" i="5"/>
  <c r="C16" i="12" s="1"/>
  <c r="M15" i="5"/>
  <c r="C15" i="12" s="1"/>
  <c r="M14" i="5"/>
  <c r="C14" i="12" s="1"/>
  <c r="M13" i="5"/>
  <c r="C13" i="12" s="1"/>
  <c r="M12" i="5"/>
  <c r="C12" i="12" s="1"/>
  <c r="M11" i="5"/>
  <c r="C11" i="12" s="1"/>
  <c r="M10" i="5"/>
  <c r="C10" i="12" s="1"/>
  <c r="M9" i="5"/>
  <c r="C9" i="12" s="1"/>
  <c r="M8" i="5"/>
  <c r="C8" i="12" s="1"/>
  <c r="C6" i="12"/>
  <c r="F25" i="4"/>
  <c r="E25" i="4"/>
  <c r="F24" i="4"/>
  <c r="E24" i="4"/>
  <c r="F23" i="4"/>
  <c r="E23" i="4"/>
  <c r="F22" i="4"/>
  <c r="E22" i="4"/>
  <c r="F21" i="4"/>
  <c r="E21" i="4"/>
  <c r="F20" i="4"/>
  <c r="E20" i="4"/>
  <c r="F19" i="4"/>
  <c r="E19" i="4"/>
  <c r="F18" i="4"/>
  <c r="E18" i="4"/>
  <c r="F17" i="4"/>
  <c r="E17" i="4"/>
  <c r="F16" i="4"/>
  <c r="E16" i="4"/>
  <c r="F15" i="4"/>
  <c r="E15" i="4"/>
  <c r="F14" i="4"/>
  <c r="E14" i="4"/>
  <c r="F13" i="4"/>
  <c r="E13" i="4"/>
  <c r="F12" i="4"/>
  <c r="E12" i="4"/>
  <c r="F11" i="4"/>
  <c r="E11" i="4"/>
  <c r="F10" i="4"/>
  <c r="E10" i="4"/>
  <c r="F9" i="4"/>
  <c r="E9" i="4"/>
  <c r="F8" i="4"/>
  <c r="E8" i="4"/>
  <c r="E7" i="4"/>
  <c r="F7" i="4" s="1"/>
  <c r="E6" i="4"/>
  <c r="F6" i="4" s="1"/>
  <c r="E5" i="4"/>
  <c r="F5" i="4" s="1"/>
  <c r="C7" i="12" l="1"/>
  <c r="G5" i="12" l="1"/>
  <c r="C5"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4" authorId="0" shapeId="0" xr:uid="{00000000-0006-0000-0100-000001000000}">
      <text>
        <r>
          <rPr>
            <sz val="10"/>
            <rFont val="Arial"/>
            <family val="2"/>
          </rPr>
          <t>Your short handle, used to join every other tab. Lowercase, no spaces. e.g. slowspace</t>
        </r>
      </text>
    </comment>
    <comment ref="B4" authorId="0" shapeId="0" xr:uid="{00000000-0006-0000-0100-000003000000}">
      <text>
        <r>
          <rPr>
            <sz val="10"/>
            <rFont val="Arial"/>
            <family val="2"/>
          </rPr>
          <t>UFR-0020 vehicle_name. Exactly as incorporated, including 'LLP'.</t>
        </r>
      </text>
    </comment>
    <comment ref="C4" authorId="0" shapeId="0" xr:uid="{00000000-0006-0000-0100-000006000000}">
      <text>
        <r>
          <rPr>
            <sz val="10"/>
            <rFont val="Arial"/>
            <family val="2"/>
          </rPr>
          <t>The Registrar's identifier. Verify against the MCA register — do not transcribe from a deck.</t>
        </r>
      </text>
    </comment>
    <comment ref="D4" authorId="0" shapeId="0" xr:uid="{00000000-0006-0000-0100-000009000000}">
      <text>
        <r>
          <rPr>
            <sz val="10"/>
            <rFont val="Arial"/>
            <family val="2"/>
          </rPr>
          <t>UFR-0021 vehicle_form. LLP is the constitutional default (§24a); anything else needs Board approval for the specific property.</t>
        </r>
      </text>
    </comment>
    <comment ref="E4" authorId="0" shapeId="0" xr:uid="{00000000-0006-0000-0100-00000A000000}">
      <text>
        <r>
          <rPr>
            <sz val="10"/>
            <rFont val="Arial"/>
            <family val="2"/>
          </rPr>
          <t>ISO date from the certificate of incorporation.</t>
        </r>
      </text>
    </comment>
    <comment ref="F4" authorId="0" shapeId="0" xr:uid="{00000000-0006-0000-0100-00000D000000}">
      <text>
        <r>
          <rPr>
            <sz val="10"/>
            <rFont val="Arial"/>
            <family val="2"/>
          </rPr>
          <t>Date of the LLP Agreement. Filed as Form 3 within 30 days — statutory mirror ST-01.</t>
        </r>
      </text>
    </comment>
    <comment ref="G4" authorId="0" shapeId="0" xr:uid="{00000000-0006-0000-0100-000010000000}">
      <text>
        <r>
          <rPr>
            <sz val="10"/>
            <rFont val="Arial"/>
            <family val="2"/>
          </rPr>
          <t>Full address as filed. A change is Form 15 within 30 days.</t>
        </r>
      </text>
    </comment>
    <comment ref="H4" authorId="0" shapeId="0" xr:uid="{00000000-0006-0000-0100-000013000000}">
      <text>
        <r>
          <rPr>
            <sz val="10"/>
            <rFont val="Arial"/>
            <family val="2"/>
          </rPr>
          <t>e.g. RoC Bangalore</t>
        </r>
      </text>
    </comment>
    <comment ref="I4" authorId="0" shapeId="0" xr:uid="{00000000-0006-0000-0100-000016000000}">
      <text>
        <r>
          <rPr>
            <sz val="10"/>
            <rFont val="Arial"/>
            <family val="2"/>
          </rPr>
          <t>Statutory record. Needed before any receipt can issue.</t>
        </r>
      </text>
    </comment>
    <comment ref="J4" authorId="0" shapeId="0" xr:uid="{00000000-0006-0000-0100-000019000000}">
      <text>
        <r>
          <rPr>
            <sz val="10"/>
            <rFont val="Arial"/>
            <family val="2"/>
          </rPr>
          <t>Needed the day the first contractor or salary payment is made, for TDS.</t>
        </r>
      </text>
    </comment>
    <comment ref="K4" authorId="0" shapeId="0" xr:uid="{00000000-0006-0000-0100-00001C000000}">
      <text>
        <r>
          <rPr>
            <sz val="10"/>
            <rFont val="Arial"/>
            <family val="2"/>
          </rPr>
          <t>UFR-0027. forming | raising | deployed | stabilised | winding_down | dissolved</t>
        </r>
      </text>
    </comment>
    <comment ref="L4" authorId="0" shapeId="0" xr:uid="{00000000-0006-0000-0100-00001D000000}">
      <text>
        <r>
          <rPr>
            <sz val="10"/>
            <rFont val="Arial"/>
            <family val="2"/>
          </rPr>
          <t>yes/no. Contribution over ₹25 lakh forces it — every GC vehicle so far. Decides whether ITR-5 falls 31 Jul or 31 Oct.</t>
        </r>
      </text>
    </comment>
    <comment ref="A5" authorId="0" shapeId="0" xr:uid="{00000000-0006-0000-0100-000002000000}">
      <text>
        <r>
          <rPr>
            <sz val="10"/>
            <rFont val="Arial"/>
            <family val="2"/>
          </rPr>
          <t>ROW 5 IS THE WORKED EXAMPLE — SlowSpace Coastal LLP, the vehicle already in the codebase. It shows the exact format each column expects. Leave it; add your LLPs from row 6 down.</t>
        </r>
      </text>
    </comment>
    <comment ref="B6" authorId="0" shapeId="0" xr:uid="{00000000-0006-0000-0100-000004000000}">
      <text>
        <r>
          <rPr>
            <sz val="10"/>
            <rFont val="Arial"/>
            <family val="2"/>
          </rPr>
          <t>Provisional working name pending confirmation of the actual registered LLP name.</t>
        </r>
      </text>
    </comment>
    <comment ref="C6" authorId="0" shapeId="0" xr:uid="{00000000-0006-0000-0100-000007000000}">
      <text>
        <r>
          <rPr>
            <sz val="10"/>
            <rFont val="Arial"/>
            <family val="2"/>
          </rPr>
          <t>PENDING - verify against MCA register before publishing (gate G-03). ATLAS has not fabricated this legal fact.</t>
        </r>
      </text>
    </comment>
    <comment ref="E6" authorId="0" shapeId="0" xr:uid="{00000000-0006-0000-0100-00000B000000}">
      <text>
        <r>
          <rPr>
            <sz val="10"/>
            <rFont val="Arial"/>
            <family val="2"/>
          </rPr>
          <t>PENDING - verify against MCA register before publishing (gate G-03). ATLAS has not fabricated this legal fact.</t>
        </r>
      </text>
    </comment>
    <comment ref="F6" authorId="0" shapeId="0" xr:uid="{00000000-0006-0000-0100-00000E000000}">
      <text>
        <r>
          <rPr>
            <sz val="10"/>
            <rFont val="Arial"/>
            <family val="2"/>
          </rPr>
          <t>PENDING - verify against MCA register before publishing (gate G-03). ATLAS has not fabricated this legal fact.</t>
        </r>
      </text>
    </comment>
    <comment ref="G6" authorId="0" shapeId="0" xr:uid="{00000000-0006-0000-0100-000011000000}">
      <text>
        <r>
          <rPr>
            <sz val="10"/>
            <rFont val="Arial"/>
            <family val="2"/>
          </rPr>
          <t>PENDING - expected Chikkaballapur, Karnataka based on the estate location; exact registered office not supplied.</t>
        </r>
      </text>
    </comment>
    <comment ref="H6" authorId="0" shapeId="0" xr:uid="{00000000-0006-0000-0100-000014000000}">
      <text>
        <r>
          <rPr>
            <sz val="10"/>
            <rFont val="Arial"/>
            <family val="2"/>
          </rPr>
          <t>Assumed - same registrar as other Karnataka SGDS vehicles. Verify.</t>
        </r>
      </text>
    </comment>
    <comment ref="I6" authorId="0" shapeId="0" xr:uid="{00000000-0006-0000-0100-000017000000}">
      <text>
        <r>
          <rPr>
            <sz val="10"/>
            <rFont val="Arial"/>
            <family val="2"/>
          </rPr>
          <t>PENDING - PAN not supplied.</t>
        </r>
      </text>
    </comment>
    <comment ref="J6" authorId="0" shapeId="0" xr:uid="{00000000-0006-0000-0100-00001A000000}">
      <text>
        <r>
          <rPr>
            <sz val="10"/>
            <rFont val="Arial"/>
            <family val="2"/>
          </rPr>
          <t>PENDING - TAN not supplied.</t>
        </r>
      </text>
    </comment>
    <comment ref="B7" authorId="0" shapeId="0" xr:uid="{00000000-0006-0000-0100-000005000000}">
      <text>
        <r>
          <rPr>
            <sz val="10"/>
            <rFont val="Arial"/>
            <family val="2"/>
          </rPr>
          <t>Provisional working name pending incorporation.</t>
        </r>
      </text>
    </comment>
    <comment ref="C7" authorId="0" shapeId="0" xr:uid="{00000000-0006-0000-0100-000008000000}">
      <text>
        <r>
          <rPr>
            <sz val="10"/>
            <rFont val="Arial"/>
            <family val="2"/>
          </rPr>
          <t>PENDING - verify against MCA register before publishing (gate G-03). ATLAS has not fabricated this legal fact.</t>
        </r>
      </text>
    </comment>
    <comment ref="E7" authorId="0" shapeId="0" xr:uid="{00000000-0006-0000-0100-00000C000000}">
      <text>
        <r>
          <rPr>
            <sz val="10"/>
            <rFont val="Arial"/>
            <family val="2"/>
          </rPr>
          <t>PENDING - verify against MCA register before publishing (gate G-03). ATLAS has not fabricated this legal fact.</t>
        </r>
      </text>
    </comment>
    <comment ref="F7" authorId="0" shapeId="0" xr:uid="{00000000-0006-0000-0100-00000F000000}">
      <text>
        <r>
          <rPr>
            <sz val="10"/>
            <rFont val="Arial"/>
            <family val="2"/>
          </rPr>
          <t>PENDING - verify against MCA register before publishing (gate G-03). ATLAS has not fabricated this legal fact.</t>
        </r>
      </text>
    </comment>
    <comment ref="G7" authorId="0" shapeId="0" xr:uid="{00000000-0006-0000-0100-000012000000}">
      <text>
        <r>
          <rPr>
            <sz val="10"/>
            <rFont val="Arial"/>
            <family val="2"/>
          </rPr>
          <t>PENDING - expected Coorg, Karnataka; exact registered office not supplied.</t>
        </r>
      </text>
    </comment>
    <comment ref="H7" authorId="0" shapeId="0" xr:uid="{00000000-0006-0000-0100-000015000000}">
      <text>
        <r>
          <rPr>
            <sz val="10"/>
            <rFont val="Arial"/>
            <family val="2"/>
          </rPr>
          <t>Assumed - same registrar as other Karnataka SGDS vehicles. Verify.</t>
        </r>
      </text>
    </comment>
    <comment ref="I7" authorId="0" shapeId="0" xr:uid="{00000000-0006-0000-0100-000018000000}">
      <text>
        <r>
          <rPr>
            <sz val="10"/>
            <rFont val="Arial"/>
            <family val="2"/>
          </rPr>
          <t>PENDING - PAN not supplied.</t>
        </r>
      </text>
    </comment>
    <comment ref="J7" authorId="0" shapeId="0" xr:uid="{00000000-0006-0000-0100-00001B000000}">
      <text>
        <r>
          <rPr>
            <sz val="10"/>
            <rFont val="Arial"/>
            <family val="2"/>
          </rPr>
          <t>PENDING - TAN not supplied.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4" authorId="0" shapeId="0" xr:uid="{00000000-0006-0000-0200-000001000000}">
      <text>
        <r>
          <rPr>
            <sz val="10"/>
            <rFont val="Arial"/>
            <family val="2"/>
          </rPr>
          <t>Joins to tab 1.</t>
        </r>
      </text>
    </comment>
    <comment ref="B4" authorId="0" shapeId="0" xr:uid="{00000000-0006-0000-0200-000003000000}">
      <text>
        <r>
          <rPr>
            <sz val="10"/>
            <rFont val="Arial"/>
            <family val="2"/>
          </rPr>
          <t>UFR-0060. What it is called on the Collection.</t>
        </r>
      </text>
    </comment>
    <comment ref="C4" authorId="0" shapeId="0" xr:uid="{00000000-0006-0000-0200-000004000000}">
      <text>
        <r>
          <rPr>
            <sz val="10"/>
            <rFont val="Arial"/>
            <family val="2"/>
          </rPr>
          <t>e.g. PDB-01. Becomes the URL slug and the register key. Unique across all properties.</t>
        </r>
      </text>
    </comment>
    <comment ref="D4" authorId="0" shapeId="0" xr:uid="{00000000-0006-0000-0200-000007000000}">
      <text>
        <r>
          <rPr>
            <sz val="10"/>
            <rFont val="Arial"/>
            <family val="2"/>
          </rPr>
          <t>UFR-0063. Town, State — as an investor would say it.</t>
        </r>
      </text>
    </comment>
    <comment ref="E4" authorId="0" shapeId="0" xr:uid="{00000000-0006-0000-0200-000008000000}">
      <text>
        <r>
          <rPr>
            <sz val="10"/>
            <rFont val="Arial"/>
            <family val="2"/>
          </rPr>
          <t>Decimal degrees. Shown on the location surface.</t>
        </r>
      </text>
    </comment>
    <comment ref="F4" authorId="0" shapeId="0" xr:uid="{00000000-0006-0000-0200-00000B000000}">
      <text>
        <r>
          <rPr>
            <sz val="10"/>
            <rFont val="Arial"/>
            <family val="2"/>
          </rPr>
          <t>UFR-0064. Survey/khata number. Required — it is what makes ownership checkable.</t>
        </r>
      </text>
    </comment>
    <comment ref="G4" authorId="0" shapeId="0" xr:uid="{00000000-0006-0000-0200-00000E000000}">
      <text>
        <r>
          <rPr>
            <sz val="10"/>
            <rFont val="Arial"/>
            <family val="2"/>
          </rPr>
          <t>UFR-0065. As stated on title. e.g. 1.42 acres · dual frontage</t>
        </r>
      </text>
    </comment>
    <comment ref="H4" authorId="0" shapeId="0" xr:uid="{00000000-0006-0000-0200-00000F000000}">
      <text>
        <r>
          <rPr>
            <sz val="10"/>
            <rFont val="Arial"/>
            <family val="2"/>
          </rPr>
          <t>Number of lettable units. Drives the revenue model on tab 5.</t>
        </r>
      </text>
    </comment>
    <comment ref="I4" authorId="0" shapeId="0" xr:uid="{00000000-0006-0000-0200-000010000000}">
      <text>
        <r>
          <rPr>
            <sz val="10"/>
            <rFont val="Arial"/>
            <family val="2"/>
          </rPr>
          <t>UFR-0066. prospecting | pending | acquired | development | stabilised | disposition_pending | exited</t>
        </r>
      </text>
    </comment>
    <comment ref="J4" authorId="0" shapeId="0" xr:uid="{00000000-0006-0000-0200-000011000000}">
      <text>
        <r>
          <rPr>
            <sz val="10"/>
            <rFont val="Arial"/>
            <family val="2"/>
          </rPr>
          <t>UFR-0067. ISO date, or blank if not yet stabilised.</t>
        </r>
      </text>
    </comment>
    <comment ref="K4" authorId="0" shapeId="0" xr:uid="{00000000-0006-0000-0200-000014000000}">
      <text>
        <r>
          <rPr>
            <sz val="10"/>
            <rFont val="Arial"/>
            <family val="2"/>
          </rPr>
          <t>UFR-0068. Environmental and planning commitments, e.g. CRZ compliant · modular assembly</t>
        </r>
      </text>
    </comment>
    <comment ref="L4" authorId="0" shapeId="0" xr:uid="{00000000-0006-0000-0200-000015000000}">
      <text>
        <r>
          <rPr>
            <sz val="10"/>
            <rFont val="Arial"/>
            <family val="2"/>
          </rPr>
          <t>0–360. The generated plate colour until photography exists. Pick something that suits the place.</t>
        </r>
      </text>
    </comment>
    <comment ref="A5" authorId="0" shapeId="0" xr:uid="{00000000-0006-0000-0200-000002000000}">
      <text>
        <r>
          <rPr>
            <sz val="10"/>
            <rFont val="Arial"/>
            <family val="2"/>
          </rPr>
          <t>ROW 5 IS THE WORKED EXAMPLE — SlowSpace Coastal LLP, the vehicle already in the codebase. It shows the exact format each column expects. Leave it; add your LLPs from row 6 down.</t>
        </r>
      </text>
    </comment>
    <comment ref="C6" authorId="0" shapeId="0" xr:uid="{00000000-0006-0000-0200-000005000000}">
      <text>
        <r>
          <rPr>
            <sz val="10"/>
            <rFont val="Arial"/>
            <family val="2"/>
          </rPr>
          <t>Provisional asset code, assigned by ATLAS for register consistency (Confluence uses PDB-01). Not an official designation.</t>
        </r>
      </text>
    </comment>
    <comment ref="F6" authorId="0" shapeId="0" xr:uid="{00000000-0006-0000-0200-00000C000000}">
      <text>
        <r>
          <rPr>
            <sz val="10"/>
            <rFont val="Arial"/>
            <family val="2"/>
          </rPr>
          <t>PENDING - no title/survey reference supplied for either parcel. Two-parcel mixed tenure; see Commitments column.</t>
        </r>
      </text>
    </comment>
    <comment ref="J6" authorId="0" shapeId="0" xr:uid="{00000000-0006-0000-0200-000012000000}">
      <text>
        <r>
          <rPr>
            <sz val="10"/>
            <rFont val="Arial"/>
            <family val="2"/>
          </rPr>
          <t>Not yet stabilised.</t>
        </r>
      </text>
    </comment>
    <comment ref="L6" authorId="0" shapeId="0" xr:uid="{00000000-0006-0000-0200-000016000000}">
      <text>
        <r>
          <rPr>
            <sz val="10"/>
            <rFont val="Arial"/>
            <family val="2"/>
          </rPr>
          <t>Cosmetic UI hue only - arbitrary earth-tone value, not a legal or financial fact.</t>
        </r>
      </text>
    </comment>
    <comment ref="C7" authorId="0" shapeId="0" xr:uid="{00000000-0006-0000-0200-000006000000}">
      <text>
        <r>
          <rPr>
            <sz val="10"/>
            <rFont val="Arial"/>
            <family val="2"/>
          </rPr>
          <t>Provisional asset code, assigned by ATLAS. Genesis Portfolio Registry already uses COG-prefixed logic implicitly for Coffee Fields Forever and The Creek; confirm no collision.</t>
        </r>
      </text>
    </comment>
    <comment ref="E7" authorId="0" shapeId="0" xr:uid="{00000000-0006-0000-0200-000009000000}">
      <text>
        <r>
          <rPr>
            <sz val="10"/>
            <rFont val="Arial"/>
            <family val="2"/>
          </rPr>
          <t>PENDING - coordinates not supplied.</t>
        </r>
      </text>
    </comment>
    <comment ref="F7" authorId="0" shapeId="0" xr:uid="{00000000-0006-0000-0200-00000D000000}">
      <text>
        <r>
          <rPr>
            <sz val="10"/>
            <rFont val="Arial"/>
            <family val="2"/>
          </rPr>
          <t>PENDING - land held under possession only; no title/survey reference or conversion record supplied.</t>
        </r>
      </text>
    </comment>
    <comment ref="J7" authorId="0" shapeId="0" xr:uid="{00000000-0006-0000-0200-000013000000}">
      <text>
        <r>
          <rPr>
            <sz val="10"/>
            <rFont val="Arial"/>
            <family val="2"/>
          </rPr>
          <t>Not yet stabilised - pre-construction.</t>
        </r>
      </text>
    </comment>
    <comment ref="L7" authorId="0" shapeId="0" xr:uid="{00000000-0006-0000-0200-000017000000}">
      <text>
        <r>
          <rPr>
            <sz val="10"/>
            <rFont val="Arial"/>
            <family val="2"/>
          </rPr>
          <t>Cosmetic UI hue only - arbitrary forest/coffee-tone value, not a legal or financial fact.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4" authorId="0" shapeId="0" xr:uid="{00000000-0006-0000-0300-000001000000}">
      <text>
        <r>
          <rPr>
            <sz val="10"/>
            <rFont val="Arial"/>
            <family val="2"/>
          </rPr>
          <t>Joins to tab 1.</t>
        </r>
      </text>
    </comment>
    <comment ref="B4" authorId="0" shapeId="0" xr:uid="{00000000-0006-0000-0300-000003000000}">
      <text>
        <r>
          <rPr>
            <sz val="10"/>
            <rFont val="Arial"/>
            <family val="2"/>
          </rPr>
          <t>Equity. Paid at close.</t>
        </r>
      </text>
    </comment>
    <comment ref="C4" authorId="0" shapeId="0" xr:uid="{00000000-0006-0000-0300-000006000000}">
      <text>
        <r>
          <rPr>
            <sz val="10"/>
            <rFont val="Arial"/>
            <family val="2"/>
          </rPr>
          <t>Equity. Approvals, legal, digital twin.</t>
        </r>
      </text>
    </comment>
    <comment ref="D4" authorId="0" shapeId="0" xr:uid="{00000000-0006-0000-0300-000008000000}">
      <text>
        <r>
          <rPr>
            <sz val="10"/>
            <rFont val="Arial"/>
            <family val="2"/>
          </rPr>
          <t>Debt. Drawn during construction only.</t>
        </r>
      </text>
    </comment>
    <comment ref="E4" authorId="0" shapeId="0" xr:uid="{00000000-0006-0000-0300-00000A000000}">
      <text>
        <r>
          <rPr>
            <sz val="10"/>
            <rFont val="Arial"/>
            <family val="2"/>
          </rPr>
          <t>DERIVED = land + formation. The layer the ownership units divide.</t>
        </r>
      </text>
    </comment>
    <comment ref="F4" authorId="0" shapeId="0" xr:uid="{00000000-0006-0000-0300-00000B000000}">
      <text>
        <r>
          <rPr>
            <sz val="10"/>
            <rFont val="Arial"/>
            <family val="2"/>
          </rPr>
          <t>DERIVED = equity + facility.</t>
        </r>
      </text>
    </comment>
    <comment ref="G4" authorId="0" shapeId="0" xr:uid="{00000000-0006-0000-0300-00000C000000}">
      <text>
        <r>
          <rPr>
            <sz val="10"/>
            <rFont val="Arial"/>
            <family val="2"/>
          </rPr>
          <t>e.g. Interest-only during months 1–18</t>
        </r>
      </text>
    </comment>
    <comment ref="H4" authorId="0" shapeId="0" xr:uid="{00000000-0006-0000-0300-00000E000000}">
      <text>
        <r>
          <rPr>
            <sz val="10"/>
            <rFont val="Arial"/>
            <family val="2"/>
          </rPr>
          <t>Named on the offering and the charge register.</t>
        </r>
      </text>
    </comment>
    <comment ref="I4" authorId="0" shapeId="0" xr:uid="{00000000-0006-0000-0300-000010000000}">
      <text>
        <r>
          <rPr>
            <sz val="10"/>
            <rFont val="Arial"/>
            <family val="2"/>
          </rPr>
          <t>e.g. DSCR 1.50x minimum. Drives the covenant-proximity alert.</t>
        </r>
      </text>
    </comment>
    <comment ref="A5" authorId="0" shapeId="0" xr:uid="{00000000-0006-0000-0300-000002000000}">
      <text>
        <r>
          <rPr>
            <sz val="10"/>
            <rFont val="Arial"/>
            <family val="2"/>
          </rPr>
          <t>ROW 5 IS THE WORKED EXAMPLE — SlowSpace Coastal LLP, the vehicle already in the codebase. It shows the exact format each column expects. Leave it; add your LLPs from row 6 down.</t>
        </r>
      </text>
    </comment>
    <comment ref="B6" authorId="0" shapeId="0" xr:uid="{00000000-0006-0000-0300-000004000000}">
      <text>
        <r>
          <rPr>
            <sz val="10"/>
            <rFont val="Arial"/>
            <family val="2"/>
          </rPr>
          <t>PENDING - no capital structure supplied for Solace LLP. Land/Formation/Facility figures required before this row will validate meaningfully.</t>
        </r>
      </text>
    </comment>
    <comment ref="B7" authorId="0" shapeId="0" xr:uid="{00000000-0006-0000-0300-000005000000}">
      <text>
        <r>
          <rPr>
            <sz val="10"/>
            <rFont val="Arial"/>
            <family val="2"/>
          </rPr>
          <t>Land value as supplied: Rs.6.0 Cr, contributed in-kind by the promoter. NOTE: land is held under possession, not confirmed title - see Property tab and Risk disclosure.</t>
        </r>
      </text>
    </comment>
    <comment ref="C7" authorId="0" shapeId="0" xr:uid="{00000000-0006-0000-0300-000007000000}">
      <text>
        <r>
          <rPr>
            <sz val="10"/>
            <rFont val="Arial"/>
            <family val="2"/>
          </rPr>
          <t>Set equal to the Rs.4.0 Cr cash raise as supplied. This produces an Equity layer of Rs.10.0 Cr, matching the stated Rs.10 Cr post-money valuation exactly (Land Rs.6 Cr + Formation/cash Rs.4 Cr) - internally consistent, but this equivalence was inferred by ATLAS, not stated explicitly by the user. Confirm the Rs.4 Cr is earmarked for formation/approvals rather than partly for construction.</t>
        </r>
      </text>
    </comment>
    <comment ref="D7" authorId="0" shapeId="0" xr:uid="{00000000-0006-0000-0300-000009000000}">
      <text>
        <r>
          <rPr>
            <sz val="10"/>
            <rFont val="Arial"/>
            <family val="2"/>
          </rPr>
          <t>Construction facility as supplied: Rs.5.0 Cr, for 20 studios (~Rs.25L/studio - within the Rs.50L Platform Financial Constitution cap).</t>
        </r>
      </text>
    </comment>
    <comment ref="G7" authorId="0" shapeId="0" xr:uid="{00000000-0006-0000-0300-00000D000000}">
      <text>
        <r>
          <rPr>
            <sz val="10"/>
            <rFont val="Arial"/>
            <family val="2"/>
          </rPr>
          <t>MODELLED - platform-standard moratorium assumed for consistency with Seaside Confluence; not yet confirmed with a lender.</t>
        </r>
      </text>
    </comment>
    <comment ref="H7" authorId="0" shapeId="0" xr:uid="{00000000-0006-0000-0300-00000F000000}">
      <text>
        <r>
          <rPr>
            <sz val="10"/>
            <rFont val="Arial"/>
            <family val="2"/>
          </rPr>
          <t>PENDING - lender not named.</t>
        </r>
      </text>
    </comment>
    <comment ref="I7" authorId="0" shapeId="0" xr:uid="{00000000-0006-0000-0300-000011000000}">
      <text>
        <r>
          <rPr>
            <sz val="10"/>
            <rFont val="Arial"/>
            <family val="2"/>
          </rPr>
          <t>MODELLED - platform-standard covenant assumed; not yet confirmed with a lender.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4" authorId="0" shapeId="0" xr:uid="{00000000-0006-0000-0400-000001000000}">
      <text>
        <r>
          <rPr>
            <sz val="10"/>
            <rFont val="Arial"/>
            <family val="2"/>
          </rPr>
          <t>Joins to tab 1.</t>
        </r>
      </text>
    </comment>
    <comment ref="B4" authorId="0" shapeId="0" xr:uid="{F33D4E89-7A8F-46EE-AB4B-2FB7F1C53C4F}">
      <text>
        <r>
          <rPr>
            <sz val="10"/>
            <rFont val="Arial"/>
            <family val="2"/>
          </rPr>
          <t>500 = 5%. Must divide 10000 exactly.</t>
        </r>
      </text>
    </comment>
    <comment ref="C4" authorId="0" shapeId="0" xr:uid="{00000000-0006-0000-0400-000003000000}">
      <text>
        <r>
          <rPr>
            <sz val="10"/>
            <rFont val="Arial"/>
            <family val="2"/>
          </rPr>
          <t>500 = 5%. Must divide 10000 exactly.</t>
        </r>
      </text>
    </comment>
    <comment ref="D4" authorId="0" shapeId="0" xr:uid="{00000000-0006-0000-0400-000006000000}">
      <text>
        <r>
          <rPr>
            <sz val="10"/>
            <rFont val="Arial"/>
            <family val="2"/>
          </rPr>
          <t>Normally the same as the minimum unit.</t>
        </r>
      </text>
    </comment>
    <comment ref="E4" authorId="0" shapeId="0" xr:uid="{00000000-0006-0000-0400-000007000000}">
      <text>
        <r>
          <rPr>
            <sz val="10"/>
            <rFont val="Arial"/>
            <family val="2"/>
          </rPr>
          <t>5000 = 50%. Above this one partner carries every ordinary resolution alone.</t>
        </r>
      </text>
    </comment>
    <comment ref="L4" authorId="0" shapeId="0" xr:uid="{00000000-0006-0000-0400-000009000000}">
      <text>
        <r>
          <rPr>
            <sz val="10"/>
            <rFont val="Arial"/>
            <family val="2"/>
          </rPr>
          <t>DERIVED = 10000 / minimum unit.</t>
        </r>
      </text>
    </comment>
    <comment ref="M4" authorId="0" shapeId="0" xr:uid="{00000000-0006-0000-0400-00000A000000}">
      <text>
        <r>
          <rPr>
            <sz val="10"/>
            <rFont val="Arial"/>
            <family val="2"/>
          </rPr>
          <t>DERIVED = equity layer / units. Must be a whole rupee — see VALIDATION.</t>
        </r>
      </text>
    </comment>
    <comment ref="N4" authorId="0" shapeId="0" xr:uid="{00000000-0006-0000-0400-00000B000000}">
      <text>
        <r>
          <rPr>
            <sz val="10"/>
            <rFont val="Arial"/>
            <family val="2"/>
          </rPr>
          <t>How many are taken today. Drives 'x of y units subscribed' and disables tiles above what remains.</t>
        </r>
      </text>
    </comment>
    <comment ref="P4" authorId="0" shapeId="0" xr:uid="{00000000-0006-0000-0400-00000D000000}">
      <text>
        <r>
          <rPr>
            <sz val="10"/>
            <rFont val="Arial"/>
            <family val="2"/>
          </rPr>
          <t>Flat, taken on the platform. Does NOT scale with position size. 50000 today.</t>
        </r>
      </text>
    </comment>
    <comment ref="Q4" authorId="0" shapeId="0" xr:uid="{00000000-0006-0000-0400-00000F000000}">
      <text>
        <r>
          <rPr>
            <sz val="10"/>
            <rFont val="Arial"/>
            <family val="2"/>
          </rPr>
          <t>e.g. 36 months from financial close</t>
        </r>
      </text>
    </comment>
    <comment ref="A5" authorId="0" shapeId="0" xr:uid="{00000000-0006-0000-0400-000002000000}">
      <text>
        <r>
          <rPr>
            <sz val="10"/>
            <rFont val="Arial"/>
            <family val="2"/>
          </rPr>
          <t>ROW 5 IS THE WORKED EXAMPLE — SlowSpace Coastal LLP, the vehicle already in the codebase. It shows the exact format each column expects. Leave it; add your LLPs from row 6 down.</t>
        </r>
      </text>
    </comment>
    <comment ref="E7" authorId="0" shapeId="0" xr:uid="{00000000-0006-0000-0400-000008000000}">
      <text>
        <r>
          <rPr>
            <sz val="10"/>
            <rFont val="Arial"/>
            <family val="2"/>
          </rPr>
          <t>Ceiling set to 60% (vs Confluence's 50%) specifically to accommodate the promoter's 60% land-in-kind stake without breaching the governance ceiling.</t>
        </r>
      </text>
    </comment>
    <comment ref="N7" authorId="0" shapeId="0" xr:uid="{00000000-0006-0000-0400-00000C000000}">
      <text>
        <r>
          <rPr>
            <sz val="10"/>
            <rFont val="Arial"/>
            <family val="2"/>
          </rPr>
          <t>Promoter's land-in-kind allocation: 12 units x Rs.50L/unit = Rs.6.0 Cr, matching the land value exactly. The remaining 8 units (40%, Rs.4.0 Cr) are the open investor tranche referenced in the raise.</t>
        </r>
      </text>
    </comment>
    <comment ref="P7" authorId="0" shapeId="0" xr:uid="{00000000-0006-0000-0400-00000E000000}">
      <text>
        <r>
          <rPr>
            <sz val="10"/>
            <rFont val="Arial"/>
            <family val="2"/>
          </rPr>
          <t>Matches Seaside Confluence token deposit convention.</t>
        </r>
      </text>
    </comment>
    <comment ref="Q7" authorId="0" shapeId="0" xr:uid="{00000000-0006-0000-0400-000010000000}">
      <text>
        <r>
          <rPr>
            <sz val="10"/>
            <rFont val="Arial"/>
            <family val="2"/>
          </rPr>
          <t>MODELLED - mirrored from Seaside Confluence; confirm in the LLP Agreement.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4" authorId="0" shapeId="0" xr:uid="{00000000-0006-0000-0500-000001000000}">
      <text>
        <r>
          <rPr>
            <sz val="10"/>
            <rFont val="Arial"/>
            <family val="2"/>
          </rPr>
          <t>Joins to tab 1.</t>
        </r>
      </text>
    </comment>
    <comment ref="B4" authorId="0" shapeId="0" xr:uid="{00000000-0006-0000-0500-000003000000}">
      <text>
        <r>
          <rPr>
            <sz val="10"/>
            <rFont val="Arial"/>
            <family val="2"/>
          </rPr>
          <t>Average daily rate. Whole rupees.</t>
        </r>
      </text>
    </comment>
    <comment ref="C4" authorId="0" shapeId="0" xr:uid="{00000000-0006-0000-0500-000006000000}">
      <text>
        <r>
          <rPr>
            <sz val="10"/>
            <rFont val="Arial"/>
            <family val="2"/>
          </rPr>
          <t>5000 = 50.00% blended.</t>
        </r>
      </text>
    </comment>
    <comment ref="D4" authorId="0" shapeId="0" xr:uid="{00000000-0006-0000-0500-000008000000}">
      <text>
        <r>
          <rPr>
            <sz val="10"/>
            <rFont val="Arial"/>
            <family val="2"/>
          </rPr>
          <t>DERIVED = keys × 365 × occupancy × ADR.</t>
        </r>
      </text>
    </comment>
    <comment ref="E4" authorId="0" shapeId="0" xr:uid="{00000000-0006-0000-0500-000009000000}">
      <text>
        <r>
          <rPr>
            <sz val="10"/>
            <rFont val="Arial"/>
            <family val="2"/>
          </rPr>
          <t>3500 = 35%. Site operations, utilities, staffing.</t>
        </r>
      </text>
    </comment>
    <comment ref="F4" authorId="0" shapeId="0" xr:uid="{00000000-0006-0000-0500-00000B000000}">
      <text>
        <r>
          <rPr>
            <sz val="10"/>
            <rFont val="Arial"/>
            <family val="2"/>
          </rPr>
          <t>1500 = 15%. Platform, technology, demand.</t>
        </r>
      </text>
    </comment>
    <comment ref="G4" authorId="0" shapeId="0" xr:uid="{00000000-0006-0000-0500-00000D000000}">
      <text>
        <r>
          <rPr>
            <sz val="10"/>
            <rFont val="Arial"/>
            <family val="2"/>
          </rPr>
          <t>250 = 2.5% OF REVENUE — never a fee on asset value.</t>
        </r>
      </text>
    </comment>
    <comment ref="H4" authorId="0" shapeId="0" xr:uid="{00000000-0006-0000-0500-00000E000000}">
      <text>
        <r>
          <rPr>
            <sz val="10"/>
            <rFont val="Arial"/>
            <family val="2"/>
          </rPr>
          <t>250 = 2.5%. CapEx reserve.</t>
        </r>
      </text>
    </comment>
    <comment ref="I4" authorId="0" shapeId="0" xr:uid="{00000000-0006-0000-0500-00000F000000}">
      <text>
        <r>
          <rPr>
            <sz val="10"/>
            <rFont val="Arial"/>
            <family val="2"/>
          </rPr>
          <t>The senior claim, stated in order.</t>
        </r>
      </text>
    </comment>
    <comment ref="J4" authorId="0" shapeId="0" xr:uid="{00000000-0006-0000-0500-000011000000}">
      <text>
        <r>
          <rPr>
            <sz val="10"/>
            <rFont val="Arial"/>
            <family val="2"/>
          </rPr>
          <t>DERIVED = 10000 − the five above. No preferred return, no catch-up, no carry.</t>
        </r>
      </text>
    </comment>
    <comment ref="K4" authorId="0" shapeId="0" xr:uid="{00000000-0006-0000-0500-000012000000}">
      <text>
        <r>
          <rPr>
            <sz val="10"/>
            <rFont val="Arial"/>
            <family val="2"/>
          </rPr>
          <t>The floor stage 6 may not breach. Basis: 6 months non-operational fixed obligations.</t>
        </r>
      </text>
    </comment>
    <comment ref="L4" authorId="0" shapeId="0" xr:uid="{00000000-0006-0000-0500-000014000000}">
      <text>
        <r>
          <rPr>
            <sz val="10"/>
            <rFont val="Arial"/>
            <family val="2"/>
          </rPr>
          <t>observed | verified | modelled | estimated | forecast | pending</t>
        </r>
      </text>
    </comment>
    <comment ref="A5" authorId="0" shapeId="0" xr:uid="{00000000-0006-0000-0500-000002000000}">
      <text>
        <r>
          <rPr>
            <sz val="10"/>
            <rFont val="Arial"/>
            <family val="2"/>
          </rPr>
          <t>ROW 5 IS THE WORKED EXAMPLE — SlowSpace Coastal LLP, the vehicle already in the codebase. It shows the exact format each column expects. Leave it; add your LLPs from row 6 down.</t>
        </r>
      </text>
    </comment>
    <comment ref="B6" authorId="0" shapeId="0" xr:uid="{00000000-0006-0000-0500-000004000000}">
      <text>
        <r>
          <rPr>
            <sz val="10"/>
            <rFont val="Arial"/>
            <family val="2"/>
          </rPr>
          <t>PENDING - no operating assumptions supplied for Solace LLP.</t>
        </r>
      </text>
    </comment>
    <comment ref="B7" authorId="0" shapeId="0" xr:uid="{00000000-0006-0000-0500-000005000000}">
      <text>
        <r>
          <rPr>
            <sz val="10"/>
            <rFont val="Arial"/>
            <family val="2"/>
          </rPr>
          <t>ESTIMATED - no ADR supplied. Modelled against comparable SGDS Coorg/forest positioning; not appraised.</t>
        </r>
      </text>
    </comment>
    <comment ref="C7" authorId="0" shapeId="0" xr:uid="{00000000-0006-0000-0500-000007000000}">
      <text>
        <r>
          <rPr>
            <sz val="10"/>
            <rFont val="Arial"/>
            <family val="2"/>
          </rPr>
          <t>ESTIMATED - 55% blended occupancy assumption; not observed.</t>
        </r>
      </text>
    </comment>
    <comment ref="F7" authorId="0" shapeId="0" xr:uid="{00000000-0006-0000-0500-00000C000000}">
      <text>
        <r>
          <rPr>
            <sz val="10"/>
            <rFont val="Arial"/>
            <family val="2"/>
          </rPr>
          <t>Brand/platform share mirrored from Seaside Confluence platform convention.</t>
        </r>
      </text>
    </comment>
    <comment ref="I7" authorId="0" shapeId="0" xr:uid="{00000000-0006-0000-0500-000010000000}">
      <text>
        <r>
          <rPr>
            <sz val="10"/>
            <rFont val="Arial"/>
            <family val="2"/>
          </rPr>
          <t>ESTIMATED - lower than Confluence (23.08%) because Coorg Coffee Creek carries proportionally less debt (Facility/Project = 33% vs 58% at Confluence).</t>
        </r>
      </text>
    </comment>
    <comment ref="K7" authorId="0" shapeId="0" xr:uid="{00000000-0006-0000-0500-000013000000}">
      <text>
        <r>
          <rPr>
            <sz val="10"/>
            <rFont val="Arial"/>
            <family val="2"/>
          </rPr>
          <t>ESTIMATED - approx. 12% of modelled gross revenue, mirroring the Confluence reserve-floor ratio.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4" authorId="0" shapeId="0" xr:uid="{00000000-0006-0000-0600-000001000000}">
      <text>
        <r>
          <rPr>
            <sz val="10"/>
            <rFont val="Arial"/>
            <family val="2"/>
          </rPr>
          <t>Joins to tab 1.</t>
        </r>
      </text>
    </comment>
    <comment ref="B4" authorId="0" shapeId="0" xr:uid="{00000000-0006-0000-0600-000003000000}">
      <text>
        <r>
          <rPr>
            <sz val="10"/>
            <rFont val="Arial"/>
            <family val="2"/>
          </rPr>
          <t>For the WHOLE vehicle, per year. Never a per-unit figure.</t>
        </r>
      </text>
    </comment>
    <comment ref="C4" authorId="0" shapeId="0" xr:uid="{00000000-0006-0000-0600-000006000000}">
      <text>
        <r>
          <rPr>
            <sz val="10"/>
            <rFont val="Arial"/>
            <family val="2"/>
          </rPr>
          <t>For the whole vehicle, per year.</t>
        </r>
      </text>
    </comment>
    <comment ref="D4" authorId="0" shapeId="0" xr:uid="{00000000-0006-0000-0600-000008000000}">
      <text>
        <r>
          <rPr>
            <sz val="10"/>
            <rFont val="Arial"/>
            <family val="2"/>
          </rPr>
          <t>DERIVED = floor(pool min × minimum unit bps / 10000).</t>
        </r>
      </text>
    </comment>
    <comment ref="E4" authorId="0" shapeId="0" xr:uid="{00000000-0006-0000-0600-000009000000}">
      <text>
        <r>
          <rPr>
            <sz val="10"/>
            <rFont val="Arial"/>
            <family val="2"/>
          </rPr>
          <t>Withheld from the pool before division — maintenance and statutory closures.</t>
        </r>
      </text>
    </comment>
    <comment ref="F4" authorId="0" shapeId="0" xr:uid="{00000000-0006-0000-0600-00000A000000}">
      <text>
        <r>
          <rPr>
            <sz val="10"/>
            <rFont val="Arial"/>
            <family val="2"/>
          </rPr>
          <t>Vehicle-level rules on when allocation may be drawn. Rules, never individual draws.</t>
        </r>
      </text>
    </comment>
    <comment ref="G4" authorId="0" shapeId="0" xr:uid="{00000000-0006-0000-0600-00000B000000}">
      <text>
        <r>
          <rPr>
            <sz val="10"/>
            <rFont val="Arial"/>
            <family val="2"/>
          </rPr>
          <t>ISO date or milestone. Nothing is drawable against an unbuilt asset.</t>
        </r>
      </text>
    </comment>
    <comment ref="H4" authorId="0" shapeId="0" xr:uid="{00000000-0006-0000-0600-00000C000000}">
      <text>
        <r>
          <rPr>
            <sz val="10"/>
            <rFont val="Arial"/>
            <family val="2"/>
          </rPr>
          <t>lapse | roll_over | convert — Decision D-07. Until decided, the expiry notice cannot be written truthfully.</t>
        </r>
      </text>
    </comment>
    <comment ref="A5" authorId="0" shapeId="0" xr:uid="{00000000-0006-0000-0600-000002000000}">
      <text>
        <r>
          <rPr>
            <sz val="10"/>
            <rFont val="Arial"/>
            <family val="2"/>
          </rPr>
          <t>ROW 5 IS THE WORKED EXAMPLE — SlowSpace Coastal LLP, the vehicle already in the codebase. It shows the exact format each column expects. Leave it; add your LLPs from row 6 down.</t>
        </r>
      </text>
    </comment>
    <comment ref="B6" authorId="0" shapeId="0" xr:uid="{00000000-0006-0000-0600-000004000000}">
      <text>
        <r>
          <rPr>
            <sz val="10"/>
            <rFont val="Arial"/>
            <family val="2"/>
          </rPr>
          <t>PENDING - no entitlement structure supplied for Solace LLP.</t>
        </r>
      </text>
    </comment>
    <comment ref="B7" authorId="0" shapeId="0" xr:uid="{00000000-0006-0000-0600-000005000000}">
      <text>
        <r>
          <rPr>
            <sz val="10"/>
            <rFont val="Arial"/>
            <family val="2"/>
          </rPr>
          <t>MODELLED - scaled from Confluence's per-key night intensity (~15 nights/key min) to 20 keys.</t>
        </r>
      </text>
    </comment>
    <comment ref="C7" authorId="0" shapeId="0" xr:uid="{00000000-0006-0000-0600-000007000000}">
      <text>
        <r>
          <rPr>
            <sz val="10"/>
            <rFont val="Arial"/>
            <family val="2"/>
          </rPr>
          <t>MODELLED - scaled from Confluence's per-key night intensity (~17.5 nights/key max) to 20 keys.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4" authorId="0" shapeId="0" xr:uid="{00000000-0006-0000-0700-000001000000}">
      <text>
        <r>
          <rPr>
            <sz val="10"/>
            <rFont val="Arial"/>
            <family val="2"/>
          </rPr>
          <t>Joins to tab 1.</t>
        </r>
      </text>
    </comment>
    <comment ref="B4" authorId="0" shapeId="0" xr:uid="{00000000-0006-0000-0700-000003000000}">
      <text>
        <r>
          <rPr>
            <sz val="10"/>
            <rFont val="Arial"/>
            <family val="2"/>
          </rPr>
          <t>5001 means 'more than 50%'. A tie is not approval.</t>
        </r>
      </text>
    </comment>
    <comment ref="C4" authorId="0" shapeId="0" xr:uid="{00000000-0006-0000-0700-000006000000}">
      <text>
        <r>
          <rPr>
            <sz val="10"/>
            <rFont val="Arial"/>
            <family val="2"/>
          </rPr>
          <t>7600 = 76%. Blocked from above 24%.</t>
        </r>
      </text>
    </comment>
    <comment ref="D4" authorId="0" shapeId="0" xr:uid="{00000000-0006-0000-0700-000008000000}">
      <text>
        <r>
          <rPr>
            <sz val="10"/>
            <rFont val="Arial"/>
            <family val="2"/>
          </rPr>
          <t>6000 = 60% of total contribution present.</t>
        </r>
      </text>
    </comment>
    <comment ref="E4" authorId="0" shapeId="0" xr:uid="{00000000-0006-0000-0700-000009000000}">
      <text>
        <r>
          <rPr>
            <sz val="10"/>
            <rFont val="Arial"/>
            <family val="2"/>
          </rPr>
          <t>What needs a special resolution. e.g. Disposing of the land, or borrowing beyond ₹6.0 Cr</t>
        </r>
      </text>
    </comment>
    <comment ref="F4" authorId="0" shapeId="0" xr:uid="{00000000-0006-0000-0700-00000B000000}">
      <text>
        <r>
          <rPr>
            <sz val="10"/>
            <rFont val="Arial"/>
            <family val="2"/>
          </rPr>
          <t>e.g. Internal register first; external buyer needs consent</t>
        </r>
      </text>
    </comment>
    <comment ref="G4" authorId="0" shapeId="0" xr:uid="{00000000-0006-0000-0700-00000C000000}">
      <text>
        <r>
          <rPr>
            <sz val="10"/>
            <rFont val="Arial"/>
            <family val="2"/>
          </rPr>
          <t>Names. At least two, one resident in India. Each needs a DSC and annual DIR-3 KYC.</t>
        </r>
      </text>
    </comment>
    <comment ref="A5" authorId="0" shapeId="0" xr:uid="{00000000-0006-0000-0700-000002000000}">
      <text>
        <r>
          <rPr>
            <sz val="10"/>
            <rFont val="Arial"/>
            <family val="2"/>
          </rPr>
          <t>ROW 5 IS THE WORKED EXAMPLE — SlowSpace Coastal LLP, the vehicle already in the codebase. It shows the exact format each column expects. Leave it; add your LLPs from row 6 down.</t>
        </r>
      </text>
    </comment>
    <comment ref="G5" authorId="0" shapeId="0" xr:uid="{00000000-0006-0000-0700-00000D000000}">
      <text>
        <r>
          <rPr>
            <sz val="10"/>
            <rFont val="Arial"/>
            <family val="2"/>
          </rPr>
          <t>From the site dossier: "The Getaway Collective absorbs day-to-day execution and compliance."</t>
        </r>
      </text>
    </comment>
    <comment ref="B6" authorId="0" shapeId="0" xr:uid="{00000000-0006-0000-0700-000004000000}">
      <text>
        <r>
          <rPr>
            <sz val="10"/>
            <rFont val="Arial"/>
            <family val="2"/>
          </rPr>
          <t>PENDING - governance terms not yet drafted for Solace LLP.</t>
        </r>
      </text>
    </comment>
    <comment ref="B7" authorId="0" shapeId="0" xr:uid="{00000000-0006-0000-0700-000005000000}">
      <text>
        <r>
          <rPr>
            <sz val="10"/>
            <rFont val="Arial"/>
            <family val="2"/>
          </rPr>
          <t>Ordinary resolution: simple majority, platform-standard.</t>
        </r>
      </text>
    </comment>
    <comment ref="C7" authorId="0" shapeId="0" xr:uid="{00000000-0006-0000-0700-000007000000}">
      <text>
        <r>
          <rPr>
            <sz val="10"/>
            <rFont val="Arial"/>
            <family val="2"/>
          </rPr>
          <t>Special resolution: 76%, mirrored from Seaside Confluence. Note the promoter's 60% stake alone cannot pass a special resolution unassisted - a deliberate check even though the promoter holds a majority.</t>
        </r>
      </text>
    </comment>
    <comment ref="E7" authorId="0" shapeId="0" xr:uid="{00000000-0006-0000-0700-00000A000000}">
      <text>
        <r>
          <rPr>
            <sz val="10"/>
            <rFont val="Arial"/>
            <family val="2"/>
          </rPr>
          <t>MODELLED - platform-standard clause mirrored from Seaside Confluence. The Rs.5.0 Cr facility already sits below this threshold; confirm the LLP Agreement sets it deliberately above the planned facility.</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4" authorId="0" shapeId="0" xr:uid="{00000000-0006-0000-0800-000001000000}">
      <text>
        <r>
          <rPr>
            <sz val="10"/>
            <rFont val="Arial"/>
            <family val="2"/>
          </rPr>
          <t>Repeat for each stage of the same vehicle.</t>
        </r>
      </text>
    </comment>
    <comment ref="B4" authorId="0" shapeId="0" xr:uid="{00000000-0006-0000-0800-000003000000}">
      <text>
        <r>
          <rPr>
            <sz val="10"/>
            <rFont val="Arial"/>
            <family val="2"/>
          </rPr>
          <t>e.g. Jul – Oct 2026</t>
        </r>
      </text>
    </comment>
    <comment ref="C4" authorId="0" shapeId="0" xr:uid="{00000000-0006-0000-0800-000004000000}">
      <text>
        <r>
          <rPr>
            <sz val="10"/>
            <rFont val="Arial"/>
            <family val="2"/>
          </rPr>
          <t>e.g. Design &amp; Approvals</t>
        </r>
      </text>
    </comment>
    <comment ref="D4" authorId="0" shapeId="0" xr:uid="{00000000-0006-0000-0800-000005000000}">
      <text>
        <r>
          <rPr>
            <sz val="10"/>
            <rFont val="Arial"/>
            <family val="2"/>
          </rPr>
          <t>e.g. Pre-construction | Debt drawdown begins | Peak deployment | Settlement</t>
        </r>
      </text>
    </comment>
    <comment ref="E4" authorId="0" shapeId="0" xr:uid="{00000000-0006-0000-0800-000006000000}">
      <text>
        <r>
          <rPr>
            <sz val="10"/>
            <rFont val="Arial"/>
            <family val="2"/>
          </rPr>
          <t>One sentence. What actually happens.</t>
        </r>
      </text>
    </comment>
    <comment ref="F4" authorId="0" shapeId="0" xr:uid="{00000000-0006-0000-0800-000007000000}">
      <text>
        <r>
          <rPr>
            <sz val="10"/>
            <rFont val="Arial"/>
            <family val="2"/>
          </rPr>
          <t>yes on exactly one row per LLP.</t>
        </r>
      </text>
    </comment>
    <comment ref="A5" authorId="0" shapeId="0" xr:uid="{00000000-0006-0000-0800-000002000000}">
      <text>
        <r>
          <rPr>
            <sz val="10"/>
            <rFont val="Arial"/>
            <family val="2"/>
          </rPr>
          <t>ROW 5 IS THE WORKED EXAMPLE — SlowSpace Coastal LLP, the vehicle already in the codebase. It shows the exact format each column expects. Leave it; add your LLPs from row 6 down.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4" authorId="0" shapeId="0" xr:uid="{00000000-0006-0000-0900-000001000000}">
      <text>
        <r>
          <rPr>
            <sz val="10"/>
            <rFont val="Arial"/>
            <family val="2"/>
          </rPr>
          <t>Repeat per item.</t>
        </r>
      </text>
    </comment>
    <comment ref="B4" authorId="0" shapeId="0" xr:uid="{00000000-0006-0000-0900-000003000000}">
      <text>
        <r>
          <rPr>
            <sz val="10"/>
            <rFont val="Arial"/>
            <family val="2"/>
          </rPr>
          <t>Two digits: 01, 02, … Unique and in order per LLP.</t>
        </r>
      </text>
    </comment>
    <comment ref="C4" authorId="0" shapeId="0" xr:uid="{00000000-0006-0000-0900-000004000000}">
      <text>
        <r>
          <rPr>
            <sz val="10"/>
            <rFont val="Arial"/>
            <family val="2"/>
          </rPr>
          <t>e.g. Development &amp; Construction</t>
        </r>
      </text>
    </comment>
    <comment ref="D4" authorId="0" shapeId="0" xr:uid="{00000000-0006-0000-0900-000005000000}">
      <text>
        <r>
          <rPr>
            <sz val="10"/>
            <rFont val="Arial"/>
            <family val="2"/>
          </rPr>
          <t>Plain statement of the risk.</t>
        </r>
      </text>
    </comment>
    <comment ref="E4" authorId="0" shapeId="0" xr:uid="{00000000-0006-0000-0900-000006000000}">
      <text>
        <r>
          <rPr>
            <sz val="10"/>
            <rFont val="Arial"/>
            <family val="2"/>
          </rPr>
          <t>What it depends on.</t>
        </r>
      </text>
    </comment>
    <comment ref="F4" authorId="0" shapeId="0" xr:uid="{00000000-0006-0000-0900-000007000000}">
      <text>
        <r>
          <rPr>
            <sz val="10"/>
            <rFont val="Arial"/>
            <family val="2"/>
          </rPr>
          <t>What is not guaranteed.</t>
        </r>
      </text>
    </comment>
    <comment ref="G4" authorId="0" shapeId="0" xr:uid="{00000000-0006-0000-0900-000008000000}">
      <text>
        <r>
          <rPr>
            <sz val="10"/>
            <rFont val="Arial"/>
            <family val="2"/>
          </rPr>
          <t>Optional. e.g. Construction finance</t>
        </r>
      </text>
    </comment>
    <comment ref="H4" authorId="0" shapeId="0" xr:uid="{00000000-0006-0000-0900-000009000000}">
      <text>
        <r>
          <rPr>
            <sz val="10"/>
            <rFont val="Arial"/>
            <family val="2"/>
          </rPr>
          <t>Read from the record where possible.</t>
        </r>
      </text>
    </comment>
    <comment ref="A5" authorId="0" shapeId="0" xr:uid="{00000000-0006-0000-0900-000002000000}">
      <text>
        <r>
          <rPr>
            <sz val="10"/>
            <rFont val="Arial"/>
            <family val="2"/>
          </rPr>
          <t>ROW 5 IS THE WORKED EXAMPLE — SlowSpace Coastal LLP, the vehicle already in the codebase. It shows the exact format each column expects. Leave it; add your LLPs from row 6 down.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4" authorId="0" shapeId="0" xr:uid="{00000000-0006-0000-0A00-000001000000}">
      <text>
        <r>
          <rPr>
            <sz val="10"/>
            <rFont val="Arial"/>
            <family val="2"/>
          </rPr>
          <t>Joins to tab 1.</t>
        </r>
      </text>
    </comment>
    <comment ref="B4" authorId="0" shapeId="0" xr:uid="{00000000-0006-0000-0A00-000003000000}">
      <text>
        <r>
          <rPr>
            <sz val="10"/>
            <rFont val="Arial"/>
            <family val="2"/>
          </rPr>
          <t>e.g. F-06. Unique across all plates.</t>
        </r>
      </text>
    </comment>
    <comment ref="C4" authorId="0" shapeId="0" xr:uid="{00000000-0006-0000-0A00-000004000000}">
      <text>
        <r>
          <rPr>
            <sz val="10"/>
            <rFont val="Arial"/>
            <family val="2"/>
          </rPr>
          <t>photograph | render | drawing. NO DEFAULT — the kind is the claim.</t>
        </r>
      </text>
    </comment>
    <comment ref="D4" authorId="0" shapeId="0" xr:uid="{00000000-0006-0000-0A00-000005000000}">
      <text>
        <r>
          <rPr>
            <sz val="10"/>
            <rFont val="Arial"/>
            <family val="2"/>
          </rPr>
          <t>What the plate shows and why it matters.</t>
        </r>
      </text>
    </comment>
    <comment ref="E4" authorId="0" shapeId="0" xr:uid="{00000000-0006-0000-0A00-000006000000}">
      <text>
        <r>
          <rPr>
            <sz val="10"/>
            <rFont val="Arial"/>
            <family val="2"/>
          </rPr>
          <t>ISO date. When it was MADE, not when it was uploaded.</t>
        </r>
      </text>
    </comment>
    <comment ref="F4" authorId="0" shapeId="0" xr:uid="{00000000-0006-0000-0A00-000007000000}">
      <text>
        <r>
          <rPr>
            <sz val="10"/>
            <rFont val="Arial"/>
            <family val="2"/>
          </rPr>
          <t>Who made it and under what right it is used.</t>
        </r>
      </text>
    </comment>
    <comment ref="G4" authorId="0" shapeId="0" xr:uid="{00000000-0006-0000-0A00-000008000000}">
      <text>
        <r>
          <rPr>
            <sz val="10"/>
            <rFont val="Arial"/>
            <family val="2"/>
          </rPr>
          <t>Filename you will supply. 2400×3000 (4:5) for gallery, 3200×1800 (16:9) for hero.</t>
        </r>
      </text>
    </comment>
    <comment ref="A5" authorId="0" shapeId="0" xr:uid="{00000000-0006-0000-0A00-000002000000}">
      <text>
        <r>
          <rPr>
            <sz val="10"/>
            <rFont val="Arial"/>
            <family val="2"/>
          </rPr>
          <t>ROW 5 IS THE WORKED EXAMPLE — SlowSpace Coastal LLP, the vehicle already in the codebase. It shows the exact format each column expects. Leave it; add your LLPs from row 6 down.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5" authorId="0" shapeId="0" xr:uid="{00000000-0006-0000-0C00-000001000000}">
      <text>
        <r>
          <rPr>
            <sz val="10"/>
            <rFont val="Arial"/>
            <family val="2"/>
          </rPr>
          <t>ROW 5 IS THE WORKED EXAMPLE — SlowSpace Coastal LLP, the vehicle already in the codebase. It shows the exact format each column expects. Leave it; add your LLPs from row 6 down.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5" authorId="0" shapeId="0" xr:uid="{00000000-0006-0000-0D00-000001000000}">
      <text>
        <r>
          <rPr>
            <sz val="10"/>
            <rFont val="Arial"/>
            <family val="2"/>
          </rPr>
          <t>ROW 5 IS THE WORKED EXAMPLE — SlowSpace Coastal LLP, the vehicle already in the codebase. It shows the exact format each column expects. Leave it; add your LLPs from row 6 down.</t>
        </r>
      </text>
    </comment>
  </commentList>
</comments>
</file>

<file path=xl/sharedStrings.xml><?xml version="1.0" encoding="utf-8"?>
<sst xmlns="http://schemas.openxmlformats.org/spreadsheetml/2006/main" count="537" uniqueCount="368">
  <si>
    <t>Getaway Collective · LLP Intake Template</t>
  </si>
  <si>
    <t>Fill one row per LLP on each tab. Row 5 is the worked example and stays.</t>
  </si>
  <si>
    <t>WHAT THIS REPLACES</t>
  </si>
  <si>
    <t>Three placeholder properties currently ship in the product: Kyoto House (KYO-01), Swiss Vault (CHE-02) and Oslo Base (NOR-03), in three invented vehicles. They appear on the Collection, the capital register, the gallery, the sitemap and the telemetry board. See the RETIRING tab.</t>
  </si>
  <si>
    <t>WHAT IT FEEDS</t>
  </si>
  <si>
    <t>Every column names its destination — file, symbol and UFR registry id — on the FIELD MAP tab. Nothing here is decorative: a blank required cell becomes a blank on a public page or a thrown error at load.</t>
  </si>
  <si>
    <t>THREE CELL COLOURS</t>
  </si>
  <si>
    <t xml:space="preserve">  Yellow</t>
  </si>
  <si>
    <t>You fill it.</t>
  </si>
  <si>
    <t xml:space="preserve">  Grey</t>
  </si>
  <si>
    <t>DERIVED — do not type. The application computes it; the column exists so you can check what it will compute.</t>
  </si>
  <si>
    <t xml:space="preserve">  Cream (row 5)</t>
  </si>
  <si>
    <t>The worked example: SlowSpace Coastal LLP, already in the codebase. It is the format specimen. Do not delete it.</t>
  </si>
  <si>
    <t>THE FOUR GOLDEN RULES</t>
  </si>
  <si>
    <t xml:space="preserve">  1 · Money is exact</t>
  </si>
  <si>
    <t>Enter whole rupees, no commas, no symbol, no decimals. 40000000 is ₹4,00,00,000. The application stores money as integers and will not accept a float.</t>
  </si>
  <si>
    <t xml:space="preserve">  2 · Percentages are basis points</t>
  </si>
  <si>
    <t>Enter 1000 for 10.00%, 500 for 5.00%. The waterfall and the ownership ladder are both bps.</t>
  </si>
  <si>
    <t xml:space="preserve">  3 · Every forward figure names its confidence</t>
  </si>
  <si>
    <t>observed · verified · modelled · estimated · forecast · pending. A figure without one does not render. A management estimate is NOT an appraisal, and the product says which it is.</t>
  </si>
  <si>
    <t xml:space="preserve">  4 · Dates are ISO</t>
  </si>
  <si>
    <t>YYYY-MM-DD. Nothing else parses.</t>
  </si>
  <si>
    <t>BEFORE YOU SEND IT BACK</t>
  </si>
  <si>
    <t>Open the VALIDATION tab. Every row must read PASS. It reproduces the invariants the application enforces at load — units tiling the equity layer, the waterfall closing to 100%, the night pool dividing without inventing nights. A FAIL here is an error that would otherwise surface as a crash or, worse, as a wrong number on a page an investor reads.</t>
  </si>
  <si>
    <t>WHAT I STILL CANNOT DO FOR YOU</t>
  </si>
  <si>
    <t>Verify that an LLP exists. Every LLPIN, registered office and incorporation date on the Vehicle tab must be checked against the MCA register by someone with access to it — that is launch gate G-03 and Decision D-03, and no amount of template discipline substitutes for it.</t>
  </si>
  <si>
    <t>1 · The Vehicle (LLP)</t>
  </si>
  <si>
    <t>The entity. Everything on this row is a fact about a registered body corporate and must be verifiable against the MCA register — this is the tab launch gate G-03 audits.</t>
  </si>
  <si>
    <t>LLP key</t>
  </si>
  <si>
    <t>Registered name</t>
  </si>
  <si>
    <t>LLPIN</t>
  </si>
  <si>
    <t>Form</t>
  </si>
  <si>
    <t>Incorporated</t>
  </si>
  <si>
    <t>Agreement dated</t>
  </si>
  <si>
    <t>Registered office</t>
  </si>
  <si>
    <t>Registrar</t>
  </si>
  <si>
    <t>PAN</t>
  </si>
  <si>
    <t>TAN</t>
  </si>
  <si>
    <t>Lifecycle</t>
  </si>
  <si>
    <t>Audited?</t>
  </si>
  <si>
    <t>slowspace</t>
  </si>
  <si>
    <t>SlowSpace Coastal LLP</t>
  </si>
  <si>
    <t>AAC-4471</t>
  </si>
  <si>
    <t>llp</t>
  </si>
  <si>
    <t>2026-06-12</t>
  </si>
  <si>
    <t>2026-06-19</t>
  </si>
  <si>
    <t>2nd Floor, Maruthi Arcade, Udupi 576101, Karnataka</t>
  </si>
  <si>
    <t>RoC Bangalore</t>
  </si>
  <si>
    <t>forming</t>
  </si>
  <si>
    <t>yes</t>
  </si>
  <si>
    <t>solace</t>
  </si>
  <si>
    <t>Solace Retreats LLP</t>
  </si>
  <si>
    <t>no</t>
  </si>
  <si>
    <t>coorgcreek</t>
  </si>
  <si>
    <t>Coorg Coffee Creek LLP</t>
  </si>
  <si>
    <t>raising</t>
  </si>
  <si>
    <t>Add rows below 25 if you have more than twenty vehicles; the VALIDATION tab formulas must be extended to match — tell me and I will extend them.</t>
  </si>
  <si>
    <t>2 · The Property (Domain I · Space)</t>
  </si>
  <si>
    <t>What the LLP owns: land, build, furniture and fittings. One property per vehicle — the constitutional model is one property, one LLP.</t>
  </si>
  <si>
    <t>Property name</t>
  </si>
  <si>
    <t>Asset code</t>
  </si>
  <si>
    <t>Jurisdiction</t>
  </si>
  <si>
    <t>Coordinates</t>
  </si>
  <si>
    <t>Title reference</t>
  </si>
  <si>
    <t>Land area</t>
  </si>
  <si>
    <t>Keys</t>
  </si>
  <si>
    <t>Stabilised on</t>
  </si>
  <si>
    <t>Commitments</t>
  </si>
  <si>
    <t>Hue</t>
  </si>
  <si>
    <t>SlowSpace Coastal</t>
  </si>
  <si>
    <t>PDB-01</t>
  </si>
  <si>
    <t>Padubidri, Karnataka</t>
  </si>
  <si>
    <t>13.117416°N · 74.765988°E</t>
  </si>
  <si>
    <t>development</t>
  </si>
  <si>
    <t>CRZ compliant · Blue Flag adjacent · modular assembly</t>
  </si>
  <si>
    <t>CKB-01</t>
  </si>
  <si>
    <t>Chikkaballapur, Karnataka</t>
  </si>
  <si>
    <t>1.55 acres (0.20 owned + 1.35 leased)</t>
  </si>
  <si>
    <t>8 guntas owned (freehold) + 1 acre 14 guntas leased (leasehold). PACK_ARID_HILL Climate Mutation. CONFLICT: Genesis Portfolio Registry (spatial ledger) records Solace site area as 0.6 Acres - roughly a third of this 1.55-acre combined figure. Unreconciled pending Founder confirmation of whether the registry figure was owned-parcel-only or a different planning boundary.</t>
  </si>
  <si>
    <t>Coorg Coffee Creek</t>
  </si>
  <si>
    <t>COG-03</t>
  </si>
  <si>
    <t>Coorg, Karnataka</t>
  </si>
  <si>
    <t>10 acres (possession)</t>
  </si>
  <si>
    <t>acquired</t>
  </si>
  <si>
    <t>SlowSpace brand. Land held under possession; title/Land Reforms Act/conversion status unverified. Construction financed via a Rs.5.0 Cr facility once the equity raise closes. CONFLICT: Land Area (10 acres) and Studio Count (20) are identical to "The Creek" (Coorg, ESKAPE brand, PACK_RIPARIAN_FOREST) already in the Genesis Portfolio Registry. Unreconciled - confirm this is a distinct sixth estate and not a naming collision or rebrand.</t>
  </si>
  <si>
    <t>3 · The Capital Stack (Domain III · Capital)</t>
  </si>
  <si>
    <t>Whole rupees. No commas, no symbol, no decimals. Equity clears the land and the approvals before a rupee of debt is drawn, so pre-construction risk sits entirely on equity.</t>
  </si>
  <si>
    <t>Land (₹)</t>
  </si>
  <si>
    <t>Formation (₹)</t>
  </si>
  <si>
    <t>Facility (₹)</t>
  </si>
  <si>
    <t>Equity layer (₹)</t>
  </si>
  <si>
    <t>Project total (₹)</t>
  </si>
  <si>
    <t>Moratorium</t>
  </si>
  <si>
    <t>Lender</t>
  </si>
  <si>
    <t>Covenant</t>
  </si>
  <si>
    <t>Interest-only during months 1–18</t>
  </si>
  <si>
    <t>DSCR 1.50x minimum</t>
  </si>
  <si>
    <t>Interest-only during months 1-18</t>
  </si>
  <si>
    <t>4 · Ownership Units and the Allocation Ladder</t>
  </si>
  <si>
    <t>Basis points: 500 = 5.00%. The minimum unit is also the increment. The ceiling is a GOVERNANCE limit, not a commercial one — above 50% a single partner carries every ordinary resolution alone (§24a), and the register votes for the record only.</t>
  </si>
  <si>
    <t>Minimum unit (bps)</t>
  </si>
  <si>
    <t>Step (bps)</t>
  </si>
  <si>
    <t>Ceiling (bps)</t>
  </si>
  <si>
    <t>Units in vehicle</t>
  </si>
  <si>
    <t>Unit price (₹)</t>
  </si>
  <si>
    <t>Units subscribed</t>
  </si>
  <si>
    <t>Deposit (₹)</t>
  </si>
  <si>
    <t>Lock-in</t>
  </si>
  <si>
    <t>36 months from financial close</t>
  </si>
  <si>
    <t>5 · Operating Assumptions and the Six-Stage Waterfall</t>
  </si>
  <si>
    <t>The waterfall must close to exactly 100% of gross revenue. Debt service is its OWN stage — folding it inside the investor share shows an investor a number that a quarter of gross leaves before they see it. Stage 6 does not run at all if paying it would take the reserve below its floor.</t>
  </si>
  <si>
    <t>ADR (₹)</t>
  </si>
  <si>
    <t>Occupancy (bps)</t>
  </si>
  <si>
    <t>Gross revenue (₹)</t>
  </si>
  <si>
    <t>1 Operator (bps)</t>
  </si>
  <si>
    <t>2 Brand (bps)</t>
  </si>
  <si>
    <t>3 Admin reserve (bps)</t>
  </si>
  <si>
    <t>4 Sinking fund (bps)</t>
  </si>
  <si>
    <t>5 Debt service (bps)</t>
  </si>
  <si>
    <t>6 To partners (bps)</t>
  </si>
  <si>
    <t>Reserve floor (₹)</t>
  </si>
  <si>
    <t>Yield confidence</t>
  </si>
  <si>
    <t>modelled</t>
  </si>
  <si>
    <t>estimated</t>
  </si>
  <si>
    <t>6 · Entitlement (Domain II · Time)</t>
  </si>
  <si>
    <t>Time is ownership, not hospitality: a static yearly allocation multiplied by the stake. The POOL is stated for the whole vehicle and each position takes its FLOOR of it, so the sum of every partner's entitlement can never exceed what the property can deliver.</t>
  </si>
  <si>
    <t>Night pool min</t>
  </si>
  <si>
    <t>Night pool max</t>
  </si>
  <si>
    <t>Min unit gets</t>
  </si>
  <si>
    <t>Reserved days</t>
  </si>
  <si>
    <t>Blackout rules</t>
  </si>
  <si>
    <t>Entitlement begins</t>
  </si>
  <si>
    <t>Lapse policy</t>
  </si>
  <si>
    <t>Handover, Jan 2028</t>
  </si>
  <si>
    <t>TBD - pending Programme lock (construction not yet started)</t>
  </si>
  <si>
    <t>7 · Governance (Domain IV · the constitutional layer)</t>
  </si>
  <si>
    <t>Voting is contribution-weighted, never per capita. A TIE IS NOT APPROVAL — an ordinary resolution needs MORE than half, so an uncast vote has a real consequence.</t>
  </si>
  <si>
    <t>Ordinary (bps)</t>
  </si>
  <si>
    <t>Special (bps)</t>
  </si>
  <si>
    <t>Quorum (bps)</t>
  </si>
  <si>
    <t>Reserved matters</t>
  </si>
  <si>
    <t>Transfer rule</t>
  </si>
  <si>
    <t>Designated partners</t>
  </si>
  <si>
    <t>Disposing of the land, or borrowing beyond ₹6.0 Cr</t>
  </si>
  <si>
    <t>Internal register first; external buyer needs consent</t>
  </si>
  <si>
    <t>Getaway Collective (GP)</t>
  </si>
  <si>
    <t>Disposing of the land, or borrowing beyond Rs.6.0 Cr</t>
  </si>
  <si>
    <t>8 · Programme — many rows per LLP</t>
  </si>
  <si>
    <t>Design to handover. One row per stage, in order. Shown to investors on the offering and tracked in the console; a delay here becomes a notice, not a surprise.</t>
  </si>
  <si>
    <t>Window</t>
  </si>
  <si>
    <t>Stage</t>
  </si>
  <si>
    <t>Capital state</t>
  </si>
  <si>
    <t>Detail</t>
  </si>
  <si>
    <t>Current?</t>
  </si>
  <si>
    <t>Jul – Oct 2026</t>
  </si>
  <si>
    <t>Design &amp; Approvals</t>
  </si>
  <si>
    <t>Pre-construction</t>
  </si>
  <si>
    <t>CRZ compliance, IDO model locked, hardware/software mapping.</t>
  </si>
  <si>
    <t>Nov – Dec 2026</t>
  </si>
  <si>
    <t>Construction start</t>
  </si>
  <si>
    <t>Debt drawdown begins</t>
  </si>
  <si>
    <t>Structural grid hardwired, modular assembly begins.</t>
  </si>
  <si>
    <t>Jan – Oct 2027</t>
  </si>
  <si>
    <t>Assembly &amp; fit-out</t>
  </si>
  <si>
    <t>Peak deployment</t>
  </si>
  <si>
    <t>Superstructure, acoustic sealing, unit integration.</t>
  </si>
  <si>
    <t>Nov 2027 – Jan 2028</t>
  </si>
  <si>
    <t>Handover</t>
  </si>
  <si>
    <t>Settlement</t>
  </si>
  <si>
    <t>Autonomous systems test, handover, open for occupancy.</t>
  </si>
  <si>
    <t>9 · Asset Disclosure — many rows per LLP</t>
  </si>
  <si>
    <t>The per-property disclosure an investor must reach the end of before the commitment opens. Measured and specific: facts do the work. Every figure beside an item is READ FROM THE VEHICLE RECORD, never retyped — restating commercial terms in prose is how prose drifts from the instrument it describes.</t>
  </si>
  <si>
    <t>No.</t>
  </si>
  <si>
    <t>Title</t>
  </si>
  <si>
    <t>Paragraph 1</t>
  </si>
  <si>
    <t>Paragraph 2</t>
  </si>
  <si>
    <t>Paragraph 3</t>
  </si>
  <si>
    <t>Fact label</t>
  </si>
  <si>
    <t>Fact value</t>
  </si>
  <si>
    <t>02</t>
  </si>
  <si>
    <t>Development &amp; Construction</t>
  </si>
  <si>
    <t>This hospitality asset is currently in its development phase.</t>
  </si>
  <si>
    <t>Construction, statutory approvals and commissioning must all be completed before the property begins generating operating income.</t>
  </si>
  <si>
    <t>Development projects may be subject to delays, cost increases or programme revisions that affect the timing of operations.</t>
  </si>
  <si>
    <t>03</t>
  </si>
  <si>
    <t>Market &amp; Competitive Positioning</t>
  </si>
  <si>
    <t>Seaside Confluence is positioned above the premium private-villa segment and below ultra-luxury boutique competitors in the Udupi-Padubidri corridor.</t>
  </si>
  <si>
    <t>Achieved average daily rate depends on maintaining this positioning against comparable coastal properties across a stated range of Rs.15,000-20,000 in the off-season and Rs.28,000-60,000+ in peak season.</t>
  </si>
  <si>
    <t>There is no assurance that targeted occupancy will be achieved or sustained at the levels modelled in this register.</t>
  </si>
  <si>
    <t>Target ADR</t>
  </si>
  <si>
    <t>Rs.15,000 (Operating &amp; waterfall tab, blended assumption)</t>
  </si>
  <si>
    <t>04</t>
  </si>
  <si>
    <t>Leverage &amp; Debt Servicing</t>
  </si>
  <si>
    <t>The facility layer is drawn only during construction and is serviced against a minimum covenant of 1.50x DSCR.</t>
  </si>
  <si>
    <t>Debt service is calculated as its own stage of the revenue waterfall, ahead of any distribution to partners.</t>
  </si>
  <si>
    <t>A shortfall in occupancy or ADR against the modelled case would compress the amount available for the partner distribution stage before it would affect debt service.</t>
  </si>
  <si>
    <t>Debt service (bps)</t>
  </si>
  <si>
    <t>2,308 bps of gross revenue</t>
  </si>
  <si>
    <t>01</t>
  </si>
  <si>
    <t>Mixed Tenure - Owned and Leasehold Parcels</t>
  </si>
  <si>
    <t>The Solace site comprises two parcels: 8 guntas held freehold and 1 acre 14 guntas held on lease.</t>
  </si>
  <si>
    <t>The leasehold parcel is subject to the terms of a lease agreement whose expiry, renewal and rent-escalation terms have not yet been entered into this register.</t>
  </si>
  <si>
    <t>Continued site control depends in part on the lease remaining in force; loss or non-renewal of the leasehold parcel would reduce the site below its currently modelled footprint.</t>
  </si>
  <si>
    <t>Land Tenure - Possession, Not Registered Title</t>
  </si>
  <si>
    <t>The 10-acre Coorg site is held under possession. Registered title, and any Land Reforms Act ceiling or non-agriculturist conversion status, have not yet been verified against the relevant government record.</t>
  </si>
  <si>
    <t>The Rs.6.0 Cr land value used to size the equity layer in this register is a management estimate, not an appraisal or a valuation performed against confirmed title.</t>
  </si>
  <si>
    <t>A title or conversion defect could affect the LLP's ability to hold, develop, or mortgage the land as contemplated in the capital stack and facility.</t>
  </si>
  <si>
    <t>Land value (management estimate)</t>
  </si>
  <si>
    <t>Rs.6,00,00,000</t>
  </si>
  <si>
    <t>Development Stage - Pre-Construction, Capital Raise Open</t>
  </si>
  <si>
    <t>This hospitality asset has not yet begun construction. The equity tranche referenced in this register is being raised and is not yet fully subscribed.</t>
  </si>
  <si>
    <t>The construction facility has not yet been drawn and is contingent on the equity raise closing and statutory approvals being obtained.</t>
  </si>
  <si>
    <t>Development projects may be subject to delays, cost increases, or programme revisions that affect the timing and quantum of both distributions and unit entitlements.</t>
  </si>
  <si>
    <t>12 of 20 (founder land-in-kind allocation; investor tranche open)</t>
  </si>
  <si>
    <t>TOTAL LOSS IS STATED SEPARATELY AND LAST — it is not an item in this list. A numbered item invites a reader to weigh it against its neighbours; that one is not comparable, and standing outside the sequence is how the layout says so. It is already written and applies to every vehicle.</t>
  </si>
  <si>
    <t>10 · Plates — many rows per property</t>
  </si>
  <si>
    <t>Every plate states WHAT IT IS. A render presented as a photograph is the commonest misrepresentation in this industry, and the kind field has no default for that reason.</t>
  </si>
  <si>
    <t>Ref</t>
  </si>
  <si>
    <t>Kind</t>
  </si>
  <si>
    <t>Caption</t>
  </si>
  <si>
    <t>Taken / made on</t>
  </si>
  <si>
    <t>Credit / licence</t>
  </si>
  <si>
    <t>File</t>
  </si>
  <si>
    <t>F-01</t>
  </si>
  <si>
    <t>drawing</t>
  </si>
  <si>
    <t>Section through the western edge. The wall thickness is the acoustic decision.</t>
  </si>
  <si>
    <t>Validation — every row must read PASS</t>
  </si>
  <si>
    <t>These reproduce the invariants the application enforces at load. A FAIL here is an error that would otherwise surface as a crash, or — worse — as a wrong number on a page an investor reads.</t>
  </si>
  <si>
    <t>Units tile 10000</t>
  </si>
  <si>
    <t>Unit price whole ₹</t>
  </si>
  <si>
    <t>Stages 1-5 leave room</t>
  </si>
  <si>
    <t>Stage 6 &gt; 0</t>
  </si>
  <si>
    <t>Nights don't inflate</t>
  </si>
  <si>
    <t>Subscribed ≤ units</t>
  </si>
  <si>
    <t>What a FAIL means</t>
  </si>
  <si>
    <t>WHAT EACH CHECK PROTECTS</t>
  </si>
  <si>
    <t>10000 / minimum-unit must be a whole number, or the ladder cannot tile the vehicle.</t>
  </si>
  <si>
    <t>The equity layer must divide into whole rupees per unit. A fractional unit price means somebody is short.</t>
  </si>
  <si>
    <t>Every entered stage must be positive and the five together must leave room for stage 6. Testing that all SIX sum to 100% would be tautological — stage 6 is the remainder — and the first version of this check was exactly that. It passed a row summing to 109%.</t>
  </si>
  <si>
    <t>If stage 6 is zero or negative, partners receive nothing and the offering says otherwise.</t>
  </si>
  <si>
    <t>units × floor(pool × unit-bps / 10000) must not exceed the pool, or the vehicle promises nights the property cannot deliver.</t>
  </si>
  <si>
    <t>Units subscribed cannot exceed units issued.</t>
  </si>
  <si>
    <t>What this replaces</t>
  </si>
  <si>
    <t>The three placeholder properties currently shipping, and every surface they appear on. When your rows land, these are deleted — not hidden.</t>
  </si>
  <si>
    <t>Property</t>
  </si>
  <si>
    <t>Code</t>
  </si>
  <si>
    <t>Vehicle (invented)</t>
  </si>
  <si>
    <t>Valuation shown</t>
  </si>
  <si>
    <t>Appears on</t>
  </si>
  <si>
    <t>Kyoto House</t>
  </si>
  <si>
    <t>KYO-01</t>
  </si>
  <si>
    <t>Coastal Collection SPV I</t>
  </si>
  <si>
    <t>Kyoto, Japan</t>
  </si>
  <si>
    <t>₹12,40,00,000</t>
  </si>
  <si>
    <t>/collection · /collection/kyoto-house (+5 sub-pages) · /capital/properties · /admin/telemetry · gallery plate F-03 · sitemap</t>
  </si>
  <si>
    <t>Swiss Vault</t>
  </si>
  <si>
    <t>CHE-02</t>
  </si>
  <si>
    <t>Alpine Collection SPV II</t>
  </si>
  <si>
    <t>Valais, Switzerland</t>
  </si>
  <si>
    <t>₹18,65,00,000</t>
  </si>
  <si>
    <t>/collection · /collection/swiss-vault (+5) · /capital/properties · /admin/telemetry · gallery plate F-04 · sitemap</t>
  </si>
  <si>
    <t>Oslo Base</t>
  </si>
  <si>
    <t>NOR-03</t>
  </si>
  <si>
    <t>Nordic Collection SPV I</t>
  </si>
  <si>
    <t>Vestland, Norway</t>
  </si>
  <si>
    <t>₹9,82,00,000</t>
  </si>
  <si>
    <t>/collection · /collection/oslo-base (+5) · /capital/properties · /admin/telemetry · gallery plate F-05 · sitemap</t>
  </si>
  <si>
    <t>SlowSpace Coastal LLP (PDB-01, Padubidri) is REAL in the model and stays — it is the worked vehicle the whole commitment flow runs on. Its LLPIN and registered office still need verifying against the MCA register (gate G-03).</t>
  </si>
  <si>
    <t>The three above are invented. They carry invented valuations from invented valuers, and two of them claim to be stabilised assets acquired years ago. Nothing about them is true, and they are indexable today.</t>
  </si>
  <si>
    <t>Where every column lands</t>
  </si>
  <si>
    <t>The import is mechanical because each column has exactly one destination. This is the tab to check if you want to know what a cell actually changes.</t>
  </si>
  <si>
    <t>Tab</t>
  </si>
  <si>
    <t>Column</t>
  </si>
  <si>
    <t>Destination in code</t>
  </si>
  <si>
    <t>Symbol</t>
  </si>
  <si>
    <t>Registry id</t>
  </si>
  <si>
    <t>1 Vehicle</t>
  </si>
  <si>
    <t>app/_assemblies/slowspace.ts</t>
  </si>
  <si>
    <t>LLP.name</t>
  </si>
  <si>
    <t>UFR-0020</t>
  </si>
  <si>
    <t>LLP.llpin</t>
  </si>
  <si>
    <t>—</t>
  </si>
  <si>
    <t>Incorporated / Agreement</t>
  </si>
  <si>
    <t>LLP.incorporated / agreementDated</t>
  </si>
  <si>
    <t>LLP.office</t>
  </si>
  <si>
    <t>constants/ufr.ts enum</t>
  </si>
  <si>
    <t>vehicle_form</t>
  </si>
  <si>
    <t>UFR-0021</t>
  </si>
  <si>
    <t>lifecycle_state</t>
  </si>
  <si>
    <t>UFR-0027</t>
  </si>
  <si>
    <t>constants/vehicle-domain.ts</t>
  </si>
  <si>
    <t>STATUTORY_MIRROR ST-04/ST-05</t>
  </si>
  <si>
    <t>2 Property</t>
  </si>
  <si>
    <t>app/_assemblies/data.ts</t>
  </si>
  <si>
    <t>Property.ufr0060</t>
  </si>
  <si>
    <t>UFR-0060</t>
  </si>
  <si>
    <t>Property.assetId</t>
  </si>
  <si>
    <t>Property.ufr0063</t>
  </si>
  <si>
    <t>UFR-0063</t>
  </si>
  <si>
    <t>constants/ufr.ts</t>
  </si>
  <si>
    <t>title_reference</t>
  </si>
  <si>
    <t>UFR-0064</t>
  </si>
  <si>
    <t>Property.ufr0065</t>
  </si>
  <si>
    <t>UFR-0065</t>
  </si>
  <si>
    <t>SITE.keys</t>
  </si>
  <si>
    <t>Property.ufr0066</t>
  </si>
  <si>
    <t>UFR-0066</t>
  </si>
  <si>
    <t>Property.ufr0068</t>
  </si>
  <si>
    <t>UFR-0068</t>
  </si>
  <si>
    <t>Property.hue</t>
  </si>
  <si>
    <t>3 Capital stack</t>
  </si>
  <si>
    <t>Land / Formation / Facility</t>
  </si>
  <si>
    <t>STACK</t>
  </si>
  <si>
    <t>Equity layer</t>
  </si>
  <si>
    <t>EQUITY (derived)</t>
  </si>
  <si>
    <t>Project total</t>
  </si>
  <si>
    <t>PROJECT (derived)</t>
  </si>
  <si>
    <t>4 Units &amp; ladder</t>
  </si>
  <si>
    <t>Minimum unit / Step / Ceiling</t>
  </si>
  <si>
    <t>ALLOCATION</t>
  </si>
  <si>
    <t>UNITS_IN_VEHICLE</t>
  </si>
  <si>
    <t>UFR-0023</t>
  </si>
  <si>
    <t>Unit price</t>
  </si>
  <si>
    <t>MIN_UNIT (derived)</t>
  </si>
  <si>
    <t>SUBSCRIBED_UNITS</t>
  </si>
  <si>
    <t>Deposit</t>
  </si>
  <si>
    <t>DEPOSIT.amount</t>
  </si>
  <si>
    <t>5 Operating</t>
  </si>
  <si>
    <t>ADR / Occupancy</t>
  </si>
  <si>
    <t>OPERATING</t>
  </si>
  <si>
    <t>Gross revenue</t>
  </si>
  <si>
    <t>GROSS_REVENUE (derived)</t>
  </si>
  <si>
    <t>Waterfall bps</t>
  </si>
  <si>
    <t>WATERFALL_SLOWSPACE</t>
  </si>
  <si>
    <t>Reserve floor</t>
  </si>
  <si>
    <t>RESERVE.floor</t>
  </si>
  <si>
    <t>UFR-0024</t>
  </si>
  <si>
    <t>Property.yield.conf</t>
  </si>
  <si>
    <t>6 Time</t>
  </si>
  <si>
    <t>Night pool</t>
  </si>
  <si>
    <t>NIGHT_POOL</t>
  </si>
  <si>
    <t>content/notifications.ts</t>
  </si>
  <si>
    <t>N-13 (blocked on D-07)</t>
  </si>
  <si>
    <t>7 Governance</t>
  </si>
  <si>
    <t>Thresholds</t>
  </si>
  <si>
    <t>GOVERNANCE</t>
  </si>
  <si>
    <t>UFR-0301</t>
  </si>
  <si>
    <t>8 Programme</t>
  </si>
  <si>
    <t>All columns</t>
  </si>
  <si>
    <t>PROGRAMME</t>
  </si>
  <si>
    <t>9 Risk disclosure</t>
  </si>
  <si>
    <t>RISKS_SLOWSPACE</t>
  </si>
  <si>
    <t>10 Plates</t>
  </si>
  <si>
    <t>content/gateway.ts</t>
  </si>
  <si>
    <t>FRAMES</t>
  </si>
  <si>
    <t xml:space="preserve">Available </t>
  </si>
  <si>
    <t>Minimum Investment (bps)</t>
  </si>
  <si>
    <t>promoter Investment</t>
  </si>
  <si>
    <t>Offering</t>
  </si>
  <si>
    <t>total equity</t>
  </si>
  <si>
    <t>total debt</t>
  </si>
  <si>
    <t>debt</t>
  </si>
  <si>
    <t>total project value</t>
  </si>
  <si>
    <t>Total Project</t>
  </si>
  <si>
    <t xml:space="preserve">Slowspace Solace </t>
  </si>
  <si>
    <t>.3 acres · dual frontage</t>
  </si>
  <si>
    <t>12°23'25.8"N 75°49'15.2"E</t>
  </si>
  <si>
    <t>13°24'40.5"N 77°49'26.9"E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</si>
</sst>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6"/>
      <name val="Arial"/>
      <charset val="1"/>
    </font>
    <font>
      <sz val="10"/>
      <color rgb="FF6B6B6B"/>
      <name val="Arial"/>
      <charset val="1"/>
    </font>
    <font>
      <b/>
      <sz val="10"/>
      <name val="Arial"/>
      <charset val="1"/>
    </font>
    <font>
      <sz val="10"/>
      <name val="Arial"/>
      <charset val="1"/>
    </font>
    <font>
      <b/>
      <sz val="10"/>
      <color rgb="FFFFFFFF"/>
      <name val="Arial"/>
      <charset val="1"/>
    </font>
    <font>
      <sz val="10"/>
      <name val="Arial"/>
      <family val="2"/>
    </font>
    <font>
      <sz val="9"/>
      <name val="Consolas"/>
      <charset val="1"/>
    </font>
    <font>
      <sz val="9"/>
      <color rgb="FF6B6B6B"/>
      <name val="Consolas"/>
      <charset val="1"/>
    </font>
  </fonts>
  <fills count="7">
    <fill>
      <patternFill patternType="none"/>
    </fill>
    <fill>
      <patternFill patternType="gray125"/>
    </fill>
    <fill>
      <patternFill patternType="solid">
        <fgColor rgb="FF0A0A0A"/>
        <bgColor rgb="FF000000"/>
      </patternFill>
    </fill>
    <fill>
      <patternFill patternType="solid">
        <fgColor rgb="FFFFF7E0"/>
        <bgColor rgb="FFF7F7F7"/>
      </patternFill>
    </fill>
    <fill>
      <patternFill patternType="solid">
        <fgColor rgb="FFFFFF00"/>
        <bgColor rgb="FFFFFF00"/>
      </patternFill>
    </fill>
    <fill>
      <patternFill patternType="solid">
        <fgColor rgb="FFEDEDED"/>
        <bgColor rgb="FFF7F7F7"/>
      </patternFill>
    </fill>
    <fill>
      <patternFill patternType="solid">
        <fgColor rgb="FFF7F7F7"/>
        <bgColor rgb="FFFFFFFF"/>
      </patternFill>
    </fill>
  </fills>
  <borders count="2">
    <border>
      <left/>
      <right/>
      <top/>
      <bottom/>
      <diagonal/>
    </border>
    <border>
      <left/>
      <right/>
      <top/>
      <bottom style="thin">
        <color rgb="FFD0D0D0"/>
      </bottom>
      <diagonal/>
    </border>
  </borders>
  <cellStyleXfs count="1">
    <xf numFmtId="0" fontId="0" fillId="0" borderId="0"/>
  </cellStyleXfs>
  <cellXfs count="26">
    <xf numFmtId="0" fontId="0" fillId="0" borderId="0" xfId="0"/>
    <xf numFmtId="0" fontId="4" fillId="0" borderId="0" xfId="0" applyFont="1" applyAlignment="1">
      <alignment vertical="top" wrapText="1"/>
    </xf>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vertical="center" wrapText="1"/>
    </xf>
    <xf numFmtId="0" fontId="4" fillId="3" borderId="1" xfId="0" applyFont="1" applyFill="1" applyBorder="1" applyAlignment="1">
      <alignment vertical="top"/>
    </xf>
    <xf numFmtId="0" fontId="4" fillId="4" borderId="1" xfId="0" applyFont="1" applyFill="1" applyBorder="1" applyAlignment="1">
      <alignment vertical="top"/>
    </xf>
    <xf numFmtId="3" fontId="7" fillId="3" borderId="1" xfId="0" applyNumberFormat="1" applyFont="1" applyFill="1" applyBorder="1" applyAlignment="1">
      <alignment vertical="top"/>
    </xf>
    <xf numFmtId="3" fontId="7" fillId="4" borderId="1" xfId="0" applyNumberFormat="1" applyFont="1" applyFill="1" applyBorder="1" applyAlignment="1">
      <alignment vertical="top"/>
    </xf>
    <xf numFmtId="3" fontId="7" fillId="5" borderId="1" xfId="0" applyNumberFormat="1" applyFont="1" applyFill="1" applyBorder="1" applyAlignment="1">
      <alignment vertical="top"/>
    </xf>
    <xf numFmtId="0" fontId="7" fillId="3" borderId="1" xfId="0" applyFont="1" applyFill="1" applyBorder="1" applyAlignment="1">
      <alignment vertical="top"/>
    </xf>
    <xf numFmtId="4" fontId="7" fillId="3" borderId="1" xfId="0" applyNumberFormat="1" applyFont="1" applyFill="1" applyBorder="1" applyAlignment="1">
      <alignment vertical="top"/>
    </xf>
    <xf numFmtId="0" fontId="7" fillId="4" borderId="1" xfId="0" applyFont="1" applyFill="1" applyBorder="1" applyAlignment="1">
      <alignment vertical="top"/>
    </xf>
    <xf numFmtId="0" fontId="7" fillId="5" borderId="1" xfId="0" applyFont="1" applyFill="1" applyBorder="1" applyAlignment="1">
      <alignment vertical="top"/>
    </xf>
    <xf numFmtId="4" fontId="7" fillId="5" borderId="1" xfId="0" applyNumberFormat="1" applyFont="1" applyFill="1" applyBorder="1" applyAlignment="1">
      <alignment vertical="top"/>
    </xf>
    <xf numFmtId="0" fontId="7" fillId="0" borderId="0" xfId="0" applyFont="1"/>
    <xf numFmtId="0" fontId="4" fillId="3" borderId="1" xfId="0" applyFont="1" applyFill="1" applyBorder="1" applyAlignment="1">
      <alignment vertical="top" wrapText="1"/>
    </xf>
    <xf numFmtId="0" fontId="4" fillId="0" borderId="1" xfId="0" applyFont="1" applyBorder="1" applyAlignment="1">
      <alignment vertical="top"/>
    </xf>
    <xf numFmtId="0" fontId="8" fillId="0" borderId="1" xfId="0" applyFont="1" applyBorder="1" applyAlignment="1">
      <alignment vertical="top"/>
    </xf>
    <xf numFmtId="0" fontId="4" fillId="6" borderId="1" xfId="0" applyFont="1" applyFill="1" applyBorder="1" applyAlignment="1">
      <alignment vertical="top"/>
    </xf>
    <xf numFmtId="0" fontId="8" fillId="6" borderId="1" xfId="0" applyFont="1" applyFill="1" applyBorder="1" applyAlignment="1">
      <alignment vertical="top"/>
    </xf>
    <xf numFmtId="0" fontId="2" fillId="0" borderId="0" xfId="0" applyFont="1" applyAlignment="1">
      <alignment vertical="top" wrapText="1"/>
    </xf>
    <xf numFmtId="0" fontId="4" fillId="0" borderId="0" xfId="0" applyFont="1" applyAlignment="1">
      <alignment vertical="top" wrapText="1"/>
    </xf>
    <xf numFmtId="0" fontId="4" fillId="4"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C6635"/>
      <rgbColor rgb="FF800080"/>
      <rgbColor rgb="FF177F43"/>
      <rgbColor rgb="FFC79F6B"/>
      <rgbColor rgb="FF808080"/>
      <rgbColor rgb="FF9999FF"/>
      <rgbColor rgb="FF993366"/>
      <rgbColor rgb="FFFFF7E0"/>
      <rgbColor rgb="FFEDEDED"/>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F7F7F7"/>
      <rgbColor rgb="FFCCFFCC"/>
      <rgbColor rgb="FFFFFF99"/>
      <rgbColor rgb="FF99CCFF"/>
      <rgbColor rgb="FFFF99CC"/>
      <rgbColor rgb="FFCC99FF"/>
      <rgbColor rgb="FFFFCC99"/>
      <rgbColor rgb="FF2061DE"/>
      <rgbColor rgb="FF33CCCC"/>
      <rgbColor rgb="FF99CC00"/>
      <rgbColor rgb="FFFFCC00"/>
      <rgbColor rgb="FFFF9900"/>
      <rgbColor rgb="FFFF6600"/>
      <rgbColor rgb="FF6B6B6B"/>
      <rgbColor rgb="FF9A9A9A"/>
      <rgbColor rgb="FF003366"/>
      <rgbColor rgb="FF339966"/>
      <rgbColor rgb="FF0C3024"/>
      <rgbColor rgb="FF0A0A0A"/>
      <rgbColor rgb="FFBE4915"/>
      <rgbColor rgb="FF993366"/>
      <rgbColor rgb="FF333399"/>
      <rgbColor rgb="FF56565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A0A0A"/>
  </sheetPr>
  <dimension ref="A1:B20"/>
  <sheetViews>
    <sheetView zoomScaleNormal="100" workbookViewId="0"/>
  </sheetViews>
  <sheetFormatPr defaultColWidth="8.7109375" defaultRowHeight="15" x14ac:dyDescent="0.25"/>
  <cols>
    <col min="1" max="1" width="30" customWidth="1"/>
    <col min="2" max="2" width="108" customWidth="1"/>
  </cols>
  <sheetData>
    <row r="1" spans="1:2" ht="19.5" customHeight="1" x14ac:dyDescent="0.3">
      <c r="A1" s="2" t="s">
        <v>0</v>
      </c>
    </row>
    <row r="2" spans="1:2" ht="15" customHeight="1" x14ac:dyDescent="0.25">
      <c r="A2" s="3" t="s">
        <v>1</v>
      </c>
    </row>
    <row r="4" spans="1:2" ht="45.75" customHeight="1" x14ac:dyDescent="0.25">
      <c r="A4" s="4" t="s">
        <v>2</v>
      </c>
      <c r="B4" s="1" t="s">
        <v>3</v>
      </c>
    </row>
    <row r="5" spans="1:2" ht="45.75" customHeight="1" x14ac:dyDescent="0.25">
      <c r="A5" s="4" t="s">
        <v>4</v>
      </c>
      <c r="B5" s="1" t="s">
        <v>5</v>
      </c>
    </row>
    <row r="6" spans="1:2" ht="15" customHeight="1" x14ac:dyDescent="0.25">
      <c r="A6" s="5"/>
      <c r="B6" s="1"/>
    </row>
    <row r="7" spans="1:2" ht="15" customHeight="1" x14ac:dyDescent="0.25">
      <c r="A7" s="4" t="s">
        <v>6</v>
      </c>
      <c r="B7" s="1"/>
    </row>
    <row r="8" spans="1:2" ht="15" customHeight="1" x14ac:dyDescent="0.25">
      <c r="A8" s="5" t="s">
        <v>7</v>
      </c>
      <c r="B8" s="1" t="s">
        <v>8</v>
      </c>
    </row>
    <row r="9" spans="1:2" ht="30" customHeight="1" x14ac:dyDescent="0.25">
      <c r="A9" s="5" t="s">
        <v>9</v>
      </c>
      <c r="B9" s="1" t="s">
        <v>10</v>
      </c>
    </row>
    <row r="10" spans="1:2" ht="30" customHeight="1" x14ac:dyDescent="0.25">
      <c r="A10" s="5" t="s">
        <v>11</v>
      </c>
      <c r="B10" s="1" t="s">
        <v>12</v>
      </c>
    </row>
    <row r="11" spans="1:2" ht="15" customHeight="1" x14ac:dyDescent="0.25">
      <c r="A11" s="5"/>
      <c r="B11" s="1"/>
    </row>
    <row r="12" spans="1:2" ht="15" customHeight="1" x14ac:dyDescent="0.25">
      <c r="A12" s="4" t="s">
        <v>13</v>
      </c>
      <c r="B12" s="1"/>
    </row>
    <row r="13" spans="1:2" ht="30" customHeight="1" x14ac:dyDescent="0.25">
      <c r="A13" s="5" t="s">
        <v>14</v>
      </c>
      <c r="B13" s="1" t="s">
        <v>15</v>
      </c>
    </row>
    <row r="14" spans="1:2" ht="15" customHeight="1" x14ac:dyDescent="0.25">
      <c r="A14" s="5" t="s">
        <v>16</v>
      </c>
      <c r="B14" s="1" t="s">
        <v>17</v>
      </c>
    </row>
    <row r="15" spans="1:2" ht="30" customHeight="1" x14ac:dyDescent="0.25">
      <c r="A15" s="5" t="s">
        <v>18</v>
      </c>
      <c r="B15" s="1" t="s">
        <v>19</v>
      </c>
    </row>
    <row r="16" spans="1:2" ht="15" customHeight="1" x14ac:dyDescent="0.25">
      <c r="A16" s="5" t="s">
        <v>20</v>
      </c>
      <c r="B16" s="1" t="s">
        <v>21</v>
      </c>
    </row>
    <row r="17" spans="1:2" ht="15" customHeight="1" x14ac:dyDescent="0.25">
      <c r="A17" s="5"/>
      <c r="B17" s="1"/>
    </row>
    <row r="18" spans="1:2" ht="45.75" customHeight="1" x14ac:dyDescent="0.25">
      <c r="A18" s="4" t="s">
        <v>22</v>
      </c>
      <c r="B18" s="1" t="s">
        <v>23</v>
      </c>
    </row>
    <row r="19" spans="1:2" ht="15" customHeight="1" x14ac:dyDescent="0.25">
      <c r="A19" s="5"/>
      <c r="B19" s="1"/>
    </row>
    <row r="20" spans="1:2" ht="45.75" customHeight="1" x14ac:dyDescent="0.25">
      <c r="A20" s="4" t="s">
        <v>24</v>
      </c>
      <c r="B20" s="1" t="s">
        <v>25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061DE"/>
  </sheetPr>
  <dimension ref="A1:L27"/>
  <sheetViews>
    <sheetView zoomScaleNormal="100" workbookViewId="0">
      <pane xSplit="1" ySplit="4" topLeftCell="B5" activePane="bottomRight" state="frozen"/>
      <selection pane="topRight" activeCell="B1" sqref="B1"/>
      <selection pane="bottomLeft" activeCell="A5" sqref="A5"/>
      <selection pane="bottomRight"/>
    </sheetView>
  </sheetViews>
  <sheetFormatPr defaultColWidth="8.7109375" defaultRowHeight="15" x14ac:dyDescent="0.25"/>
  <cols>
    <col min="1" max="1" width="12" customWidth="1"/>
    <col min="2" max="2" width="26" customWidth="1"/>
    <col min="3" max="3" width="14" customWidth="1"/>
    <col min="4" max="4" width="12" customWidth="1"/>
    <col min="5" max="6" width="14" customWidth="1"/>
    <col min="7" max="7" width="40" customWidth="1"/>
    <col min="8" max="8" width="18" customWidth="1"/>
    <col min="9" max="11" width="14" customWidth="1"/>
    <col min="12" max="12" width="10" customWidth="1"/>
  </cols>
  <sheetData>
    <row r="1" spans="1:12" ht="19.5" customHeight="1" x14ac:dyDescent="0.3">
      <c r="A1" s="2" t="s">
        <v>26</v>
      </c>
    </row>
    <row r="2" spans="1:12" ht="31.5" customHeight="1" x14ac:dyDescent="0.25">
      <c r="A2" s="23" t="s">
        <v>27</v>
      </c>
      <c r="B2" s="23"/>
      <c r="C2" s="23"/>
      <c r="D2" s="23"/>
      <c r="E2" s="23"/>
      <c r="F2" s="23"/>
      <c r="G2" s="23"/>
      <c r="H2" s="23"/>
      <c r="I2" s="23"/>
      <c r="J2" s="23"/>
      <c r="K2" s="23"/>
      <c r="L2" s="23"/>
    </row>
    <row r="4" spans="1:12" ht="42" customHeight="1" x14ac:dyDescent="0.25">
      <c r="A4" s="6" t="s">
        <v>28</v>
      </c>
      <c r="B4" s="6" t="s">
        <v>29</v>
      </c>
      <c r="C4" s="6" t="s">
        <v>30</v>
      </c>
      <c r="D4" s="6" t="s">
        <v>31</v>
      </c>
      <c r="E4" s="6" t="s">
        <v>32</v>
      </c>
      <c r="F4" s="6" t="s">
        <v>33</v>
      </c>
      <c r="G4" s="6" t="s">
        <v>34</v>
      </c>
      <c r="H4" s="6" t="s">
        <v>35</v>
      </c>
      <c r="I4" s="6" t="s">
        <v>36</v>
      </c>
      <c r="J4" s="6" t="s">
        <v>37</v>
      </c>
      <c r="K4" s="6" t="s">
        <v>38</v>
      </c>
      <c r="L4" s="6" t="s">
        <v>39</v>
      </c>
    </row>
    <row r="5" spans="1:12" ht="15" customHeight="1" x14ac:dyDescent="0.25">
      <c r="A5" s="7" t="s">
        <v>40</v>
      </c>
      <c r="B5" s="7" t="s">
        <v>41</v>
      </c>
      <c r="C5" s="7" t="s">
        <v>42</v>
      </c>
      <c r="D5" s="7" t="s">
        <v>43</v>
      </c>
      <c r="E5" s="7" t="s">
        <v>44</v>
      </c>
      <c r="F5" s="7" t="s">
        <v>45</v>
      </c>
      <c r="G5" s="7" t="s">
        <v>46</v>
      </c>
      <c r="H5" s="7" t="s">
        <v>47</v>
      </c>
      <c r="I5" s="7"/>
      <c r="J5" s="7"/>
      <c r="K5" s="7" t="s">
        <v>48</v>
      </c>
      <c r="L5" s="7" t="s">
        <v>49</v>
      </c>
    </row>
    <row r="6" spans="1:12" ht="15" customHeight="1" x14ac:dyDescent="0.25">
      <c r="A6" s="7" t="s">
        <v>50</v>
      </c>
      <c r="B6" s="7" t="s">
        <v>51</v>
      </c>
      <c r="C6" s="7"/>
      <c r="D6" s="7" t="s">
        <v>43</v>
      </c>
      <c r="E6" s="7"/>
      <c r="F6" s="7"/>
      <c r="G6" s="7"/>
      <c r="H6" s="7" t="s">
        <v>47</v>
      </c>
      <c r="I6" s="7"/>
      <c r="J6" s="7"/>
      <c r="K6" s="7" t="s">
        <v>48</v>
      </c>
      <c r="L6" s="7" t="s">
        <v>52</v>
      </c>
    </row>
    <row r="7" spans="1:12" ht="15" customHeight="1" x14ac:dyDescent="0.25">
      <c r="A7" s="7" t="s">
        <v>53</v>
      </c>
      <c r="B7" s="7" t="s">
        <v>54</v>
      </c>
      <c r="C7" s="7"/>
      <c r="D7" s="7" t="s">
        <v>43</v>
      </c>
      <c r="E7" s="7"/>
      <c r="F7" s="7"/>
      <c r="G7" s="7"/>
      <c r="H7" s="7" t="s">
        <v>47</v>
      </c>
      <c r="I7" s="7"/>
      <c r="J7" s="7"/>
      <c r="K7" s="7" t="s">
        <v>55</v>
      </c>
      <c r="L7" s="7" t="s">
        <v>52</v>
      </c>
    </row>
    <row r="8" spans="1:12" ht="15" customHeight="1" x14ac:dyDescent="0.25">
      <c r="A8" s="8"/>
      <c r="B8" s="8"/>
      <c r="C8" s="8"/>
      <c r="D8" s="8"/>
      <c r="E8" s="8"/>
      <c r="F8" s="8"/>
      <c r="G8" s="8"/>
      <c r="H8" s="8"/>
      <c r="I8" s="8"/>
      <c r="J8" s="8"/>
      <c r="K8" s="8"/>
      <c r="L8" s="8"/>
    </row>
    <row r="9" spans="1:12" ht="15" customHeight="1" x14ac:dyDescent="0.25">
      <c r="A9" s="8"/>
      <c r="B9" s="8"/>
      <c r="C9" s="8"/>
      <c r="D9" s="8"/>
      <c r="E9" s="8"/>
      <c r="F9" s="8"/>
      <c r="G9" s="8"/>
      <c r="H9" s="8"/>
      <c r="I9" s="8"/>
      <c r="J9" s="8"/>
      <c r="K9" s="8"/>
      <c r="L9" s="8"/>
    </row>
    <row r="10" spans="1:12" ht="15" customHeight="1" x14ac:dyDescent="0.25">
      <c r="A10" s="8"/>
      <c r="B10" s="8"/>
      <c r="C10" s="8"/>
      <c r="D10" s="8"/>
      <c r="E10" s="8"/>
      <c r="F10" s="8"/>
      <c r="G10" s="8"/>
      <c r="H10" s="8"/>
      <c r="I10" s="8"/>
      <c r="J10" s="8"/>
      <c r="K10" s="8"/>
      <c r="L10" s="8"/>
    </row>
    <row r="11" spans="1:12" ht="15" customHeight="1" x14ac:dyDescent="0.25">
      <c r="A11" s="8"/>
      <c r="B11" s="8"/>
      <c r="C11" s="8"/>
      <c r="D11" s="8"/>
      <c r="E11" s="8"/>
      <c r="F11" s="8"/>
      <c r="G11" s="8"/>
      <c r="H11" s="8"/>
      <c r="I11" s="8"/>
      <c r="J11" s="8"/>
      <c r="K11" s="8"/>
      <c r="L11" s="8"/>
    </row>
    <row r="12" spans="1:12" ht="15" customHeight="1" x14ac:dyDescent="0.25">
      <c r="A12" s="8"/>
      <c r="B12" s="8"/>
      <c r="C12" s="8"/>
      <c r="D12" s="8"/>
      <c r="E12" s="8"/>
      <c r="F12" s="8"/>
      <c r="G12" s="8"/>
      <c r="H12" s="8"/>
      <c r="I12" s="8"/>
      <c r="J12" s="8"/>
      <c r="K12" s="8"/>
      <c r="L12" s="8"/>
    </row>
    <row r="13" spans="1:12" ht="15" customHeight="1" x14ac:dyDescent="0.25">
      <c r="A13" s="8"/>
      <c r="B13" s="8"/>
      <c r="C13" s="8"/>
      <c r="D13" s="8"/>
      <c r="E13" s="8"/>
      <c r="F13" s="8"/>
      <c r="G13" s="8"/>
      <c r="H13" s="8"/>
      <c r="I13" s="8"/>
      <c r="J13" s="8"/>
      <c r="K13" s="8"/>
      <c r="L13" s="8"/>
    </row>
    <row r="14" spans="1:12" ht="15" customHeight="1" x14ac:dyDescent="0.25">
      <c r="A14" s="8"/>
      <c r="B14" s="8"/>
      <c r="C14" s="8"/>
      <c r="D14" s="8"/>
      <c r="E14" s="8"/>
      <c r="F14" s="8"/>
      <c r="G14" s="8"/>
      <c r="H14" s="8"/>
      <c r="I14" s="8"/>
      <c r="J14" s="8"/>
      <c r="K14" s="8"/>
      <c r="L14" s="8"/>
    </row>
    <row r="15" spans="1:12" ht="15" customHeight="1" x14ac:dyDescent="0.25">
      <c r="A15" s="8"/>
      <c r="B15" s="8"/>
      <c r="C15" s="8"/>
      <c r="D15" s="8"/>
      <c r="E15" s="8"/>
      <c r="F15" s="8"/>
      <c r="G15" s="8"/>
      <c r="H15" s="8"/>
      <c r="I15" s="8"/>
      <c r="J15" s="8"/>
      <c r="K15" s="8"/>
      <c r="L15" s="8"/>
    </row>
    <row r="16" spans="1:12" ht="15" customHeight="1" x14ac:dyDescent="0.25">
      <c r="A16" s="8"/>
      <c r="B16" s="8"/>
      <c r="C16" s="8"/>
      <c r="D16" s="8"/>
      <c r="E16" s="8"/>
      <c r="F16" s="8"/>
      <c r="G16" s="8"/>
      <c r="H16" s="8"/>
      <c r="I16" s="8"/>
      <c r="J16" s="8"/>
      <c r="K16" s="8"/>
      <c r="L16" s="8"/>
    </row>
    <row r="17" spans="1:12" ht="15" customHeight="1" x14ac:dyDescent="0.25">
      <c r="A17" s="8"/>
      <c r="B17" s="8"/>
      <c r="C17" s="8"/>
      <c r="D17" s="8"/>
      <c r="E17" s="8"/>
      <c r="F17" s="8"/>
      <c r="G17" s="8"/>
      <c r="H17" s="8"/>
      <c r="I17" s="8"/>
      <c r="J17" s="8"/>
      <c r="K17" s="8"/>
      <c r="L17" s="8"/>
    </row>
    <row r="18" spans="1:12" ht="15" customHeight="1" x14ac:dyDescent="0.25">
      <c r="A18" s="8"/>
      <c r="B18" s="8"/>
      <c r="C18" s="8"/>
      <c r="D18" s="8"/>
      <c r="E18" s="8"/>
      <c r="F18" s="8"/>
      <c r="G18" s="8"/>
      <c r="H18" s="8"/>
      <c r="I18" s="8"/>
      <c r="J18" s="8"/>
      <c r="K18" s="8"/>
      <c r="L18" s="8"/>
    </row>
    <row r="19" spans="1:12" ht="15" customHeight="1" x14ac:dyDescent="0.25">
      <c r="A19" s="8"/>
      <c r="B19" s="8"/>
      <c r="C19" s="8"/>
      <c r="D19" s="8"/>
      <c r="E19" s="8"/>
      <c r="F19" s="8"/>
      <c r="G19" s="8"/>
      <c r="H19" s="8"/>
      <c r="I19" s="8"/>
      <c r="J19" s="8"/>
      <c r="K19" s="8"/>
      <c r="L19" s="8"/>
    </row>
    <row r="20" spans="1:12" ht="15" customHeight="1" x14ac:dyDescent="0.25">
      <c r="A20" s="8"/>
      <c r="B20" s="8"/>
      <c r="C20" s="8"/>
      <c r="D20" s="8"/>
      <c r="E20" s="8"/>
      <c r="F20" s="8"/>
      <c r="G20" s="8"/>
      <c r="H20" s="8"/>
      <c r="I20" s="8"/>
      <c r="J20" s="8"/>
      <c r="K20" s="8"/>
      <c r="L20" s="8"/>
    </row>
    <row r="21" spans="1:12" ht="15" customHeight="1" x14ac:dyDescent="0.25">
      <c r="A21" s="8"/>
      <c r="B21" s="8"/>
      <c r="C21" s="8"/>
      <c r="D21" s="8"/>
      <c r="E21" s="8"/>
      <c r="F21" s="8"/>
      <c r="G21" s="8"/>
      <c r="H21" s="8"/>
      <c r="I21" s="8"/>
      <c r="J21" s="8"/>
      <c r="K21" s="8"/>
      <c r="L21" s="8"/>
    </row>
    <row r="22" spans="1:12" ht="15" customHeight="1" x14ac:dyDescent="0.25">
      <c r="A22" s="8"/>
      <c r="B22" s="8"/>
      <c r="C22" s="8"/>
      <c r="D22" s="8"/>
      <c r="E22" s="8"/>
      <c r="F22" s="8"/>
      <c r="G22" s="8"/>
      <c r="H22" s="8"/>
      <c r="I22" s="8"/>
      <c r="J22" s="8"/>
      <c r="K22" s="8"/>
      <c r="L22" s="8"/>
    </row>
    <row r="23" spans="1:12" ht="15" customHeight="1" x14ac:dyDescent="0.25">
      <c r="A23" s="8"/>
      <c r="B23" s="8"/>
      <c r="C23" s="8"/>
      <c r="D23" s="8"/>
      <c r="E23" s="8"/>
      <c r="F23" s="8"/>
      <c r="G23" s="8"/>
      <c r="H23" s="8"/>
      <c r="I23" s="8"/>
      <c r="J23" s="8"/>
      <c r="K23" s="8"/>
      <c r="L23" s="8"/>
    </row>
    <row r="24" spans="1:12" ht="15" customHeight="1" x14ac:dyDescent="0.25">
      <c r="A24" s="8"/>
      <c r="B24" s="8"/>
      <c r="C24" s="8"/>
      <c r="D24" s="8"/>
      <c r="E24" s="8"/>
      <c r="F24" s="8"/>
      <c r="G24" s="8"/>
      <c r="H24" s="8"/>
      <c r="I24" s="8"/>
      <c r="J24" s="8"/>
      <c r="K24" s="8"/>
      <c r="L24" s="8"/>
    </row>
    <row r="25" spans="1:12" ht="15" customHeight="1" x14ac:dyDescent="0.25">
      <c r="A25" s="8"/>
      <c r="B25" s="8"/>
      <c r="C25" s="8"/>
      <c r="D25" s="8"/>
      <c r="E25" s="8"/>
      <c r="F25" s="8"/>
      <c r="G25" s="8"/>
      <c r="H25" s="8"/>
      <c r="I25" s="8"/>
      <c r="J25" s="8"/>
      <c r="K25" s="8"/>
      <c r="L25" s="8"/>
    </row>
    <row r="27" spans="1:12" ht="30" customHeight="1" x14ac:dyDescent="0.25">
      <c r="A27" s="23" t="s">
        <v>56</v>
      </c>
      <c r="B27" s="23"/>
      <c r="C27" s="23"/>
      <c r="D27" s="23"/>
      <c r="E27" s="23"/>
      <c r="F27" s="23"/>
      <c r="G27" s="23"/>
      <c r="H27" s="23"/>
      <c r="I27" s="23"/>
      <c r="J27" s="23"/>
      <c r="K27" s="23"/>
      <c r="L27" s="23"/>
    </row>
  </sheetData>
  <mergeCells count="2">
    <mergeCell ref="A2:L2"/>
    <mergeCell ref="A27:L27"/>
  </mergeCells>
  <dataValidations count="3">
    <dataValidation type="list" allowBlank="1" errorTitle="Closed value set" error="Not one of the permitted values. The application enforces this enum." sqref="D5:D25" xr:uid="{00000000-0002-0000-0100-000000000000}">
      <formula1>"llp,spv,fund,trust,syndicate"</formula1>
      <formula2>0</formula2>
    </dataValidation>
    <dataValidation type="list" allowBlank="1" errorTitle="Closed value set" error="Not one of the permitted values. The application enforces this enum." sqref="K5:K25" xr:uid="{00000000-0002-0000-0100-000001000000}">
      <formula1>"forming,raising,deployed,stabilised,winding_down,dissolved"</formula1>
      <formula2>0</formula2>
    </dataValidation>
    <dataValidation type="list" allowBlank="1" errorTitle="Closed value set" error="Not one of the permitted values. The application enforces this enum." sqref="L5:L25" xr:uid="{00000000-0002-0000-0100-000002000000}">
      <formula1>"yes,no"</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C3024"/>
  </sheetPr>
  <dimension ref="A1:L25"/>
  <sheetViews>
    <sheetView zoomScaleNormal="100" workbookViewId="0">
      <pane xSplit="1" ySplit="4" topLeftCell="B5" activePane="bottomRight" state="frozen"/>
      <selection pane="topRight" activeCell="B1" sqref="B1"/>
      <selection pane="bottomLeft" activeCell="A5" sqref="A5"/>
      <selection pane="bottomRight" activeCell="E6" sqref="E6"/>
    </sheetView>
  </sheetViews>
  <sheetFormatPr defaultColWidth="8.7109375" defaultRowHeight="15" x14ac:dyDescent="0.25"/>
  <cols>
    <col min="1" max="1" width="12" customWidth="1"/>
    <col min="2" max="2" width="22" customWidth="1"/>
    <col min="3" max="3" width="12" customWidth="1"/>
    <col min="4" max="4" width="24" customWidth="1"/>
    <col min="5" max="6" width="22" customWidth="1"/>
    <col min="7" max="7" width="20" customWidth="1"/>
    <col min="8" max="8" width="8" customWidth="1"/>
    <col min="9" max="9" width="18" customWidth="1"/>
    <col min="10" max="10" width="14" customWidth="1"/>
    <col min="11" max="11" width="34" customWidth="1"/>
    <col min="12" max="12" width="8" customWidth="1"/>
  </cols>
  <sheetData>
    <row r="1" spans="1:12" ht="19.5" customHeight="1" x14ac:dyDescent="0.3">
      <c r="A1" s="2" t="s">
        <v>57</v>
      </c>
    </row>
    <row r="2" spans="1:12" ht="31.5" customHeight="1" x14ac:dyDescent="0.25">
      <c r="A2" s="23" t="s">
        <v>58</v>
      </c>
      <c r="B2" s="23"/>
      <c r="C2" s="23"/>
      <c r="D2" s="23"/>
      <c r="E2" s="23"/>
      <c r="F2" s="23"/>
      <c r="G2" s="23"/>
      <c r="H2" s="23"/>
      <c r="I2" s="23"/>
      <c r="J2" s="23"/>
      <c r="K2" s="23"/>
      <c r="L2" s="23"/>
    </row>
    <row r="4" spans="1:12" ht="42" customHeight="1" x14ac:dyDescent="0.25">
      <c r="A4" s="6" t="s">
        <v>28</v>
      </c>
      <c r="B4" s="6" t="s">
        <v>59</v>
      </c>
      <c r="C4" s="6" t="s">
        <v>60</v>
      </c>
      <c r="D4" s="6" t="s">
        <v>61</v>
      </c>
      <c r="E4" s="6" t="s">
        <v>62</v>
      </c>
      <c r="F4" s="6" t="s">
        <v>63</v>
      </c>
      <c r="G4" s="6" t="s">
        <v>64</v>
      </c>
      <c r="H4" s="6" t="s">
        <v>65</v>
      </c>
      <c r="I4" s="6" t="s">
        <v>38</v>
      </c>
      <c r="J4" s="6" t="s">
        <v>66</v>
      </c>
      <c r="K4" s="6" t="s">
        <v>67</v>
      </c>
      <c r="L4" s="6" t="s">
        <v>68</v>
      </c>
    </row>
    <row r="5" spans="1:12" ht="15" customHeight="1" x14ac:dyDescent="0.25">
      <c r="A5" s="7" t="s">
        <v>40</v>
      </c>
      <c r="B5" s="7" t="s">
        <v>69</v>
      </c>
      <c r="C5" s="7" t="s">
        <v>70</v>
      </c>
      <c r="D5" s="7" t="s">
        <v>71</v>
      </c>
      <c r="E5" s="7" t="s">
        <v>72</v>
      </c>
      <c r="F5" s="7"/>
      <c r="G5" s="7" t="s">
        <v>365</v>
      </c>
      <c r="H5" s="7">
        <v>12</v>
      </c>
      <c r="I5" s="7" t="s">
        <v>73</v>
      </c>
      <c r="J5" s="7"/>
      <c r="K5" s="7" t="s">
        <v>74</v>
      </c>
      <c r="L5" s="7">
        <v>198</v>
      </c>
    </row>
    <row r="6" spans="1:12" ht="15" customHeight="1" x14ac:dyDescent="0.25">
      <c r="A6" s="7" t="s">
        <v>50</v>
      </c>
      <c r="B6" s="7" t="s">
        <v>364</v>
      </c>
      <c r="C6" s="7" t="s">
        <v>75</v>
      </c>
      <c r="D6" s="7" t="s">
        <v>76</v>
      </c>
      <c r="E6" s="7" t="s">
        <v>367</v>
      </c>
      <c r="F6" s="7"/>
      <c r="G6" s="7" t="s">
        <v>77</v>
      </c>
      <c r="H6" s="7">
        <v>6</v>
      </c>
      <c r="I6" s="7" t="s">
        <v>73</v>
      </c>
      <c r="J6" s="7"/>
      <c r="K6" s="7" t="s">
        <v>78</v>
      </c>
      <c r="L6" s="7">
        <v>35</v>
      </c>
    </row>
    <row r="7" spans="1:12" ht="15" customHeight="1" x14ac:dyDescent="0.25">
      <c r="A7" s="7" t="s">
        <v>53</v>
      </c>
      <c r="B7" s="7" t="s">
        <v>79</v>
      </c>
      <c r="C7" s="7" t="s">
        <v>80</v>
      </c>
      <c r="D7" s="7" t="s">
        <v>81</v>
      </c>
      <c r="E7" s="7" t="s">
        <v>366</v>
      </c>
      <c r="F7" s="7"/>
      <c r="G7" s="7" t="s">
        <v>82</v>
      </c>
      <c r="H7" s="7">
        <v>20</v>
      </c>
      <c r="I7" s="7" t="s">
        <v>83</v>
      </c>
      <c r="J7" s="7"/>
      <c r="K7" s="7" t="s">
        <v>84</v>
      </c>
      <c r="L7" s="7">
        <v>90</v>
      </c>
    </row>
    <row r="8" spans="1:12" ht="15" customHeight="1" x14ac:dyDescent="0.25">
      <c r="A8" s="8"/>
      <c r="B8" s="8"/>
      <c r="C8" s="8"/>
      <c r="D8" s="8"/>
      <c r="E8" s="8"/>
      <c r="F8" s="8"/>
      <c r="G8" s="8"/>
      <c r="H8" s="8"/>
      <c r="I8" s="8"/>
      <c r="J8" s="8"/>
      <c r="K8" s="8"/>
      <c r="L8" s="8"/>
    </row>
    <row r="9" spans="1:12" ht="15" customHeight="1" x14ac:dyDescent="0.25">
      <c r="A9" s="8"/>
      <c r="B9" s="8"/>
      <c r="C9" s="8"/>
      <c r="D9" s="8"/>
      <c r="E9" s="8"/>
      <c r="F9" s="8"/>
      <c r="G9" s="8"/>
      <c r="H9" s="8"/>
      <c r="I9" s="8"/>
      <c r="J9" s="8"/>
      <c r="K9" s="8"/>
      <c r="L9" s="8"/>
    </row>
    <row r="10" spans="1:12" ht="15" customHeight="1" x14ac:dyDescent="0.25">
      <c r="A10" s="8"/>
      <c r="B10" s="8"/>
      <c r="C10" s="8"/>
      <c r="D10" s="8"/>
      <c r="E10" s="8"/>
      <c r="F10" s="8"/>
      <c r="G10" s="8"/>
      <c r="H10" s="8"/>
      <c r="I10" s="8"/>
      <c r="J10" s="8"/>
      <c r="K10" s="8"/>
      <c r="L10" s="8"/>
    </row>
    <row r="11" spans="1:12" ht="15" customHeight="1" x14ac:dyDescent="0.25">
      <c r="A11" s="8"/>
      <c r="B11" s="8"/>
      <c r="C11" s="8"/>
      <c r="D11" s="8"/>
      <c r="E11" s="8"/>
      <c r="F11" s="8"/>
      <c r="G11" s="8"/>
      <c r="H11" s="8"/>
      <c r="I11" s="8"/>
      <c r="J11" s="8"/>
      <c r="K11" s="8"/>
      <c r="L11" s="8"/>
    </row>
    <row r="12" spans="1:12" ht="15" customHeight="1" x14ac:dyDescent="0.25">
      <c r="A12" s="8"/>
      <c r="B12" s="8"/>
      <c r="C12" s="8"/>
      <c r="D12" s="8"/>
      <c r="E12" s="8"/>
      <c r="F12" s="8"/>
      <c r="G12" s="8"/>
      <c r="H12" s="8"/>
      <c r="I12" s="8"/>
      <c r="J12" s="8"/>
      <c r="K12" s="8"/>
      <c r="L12" s="8"/>
    </row>
    <row r="13" spans="1:12" ht="15" customHeight="1" x14ac:dyDescent="0.25">
      <c r="A13" s="8"/>
      <c r="B13" s="8"/>
      <c r="C13" s="8"/>
      <c r="D13" s="8"/>
      <c r="E13" s="8"/>
      <c r="F13" s="8"/>
      <c r="G13" s="8"/>
      <c r="H13" s="8"/>
      <c r="I13" s="8"/>
      <c r="J13" s="8"/>
      <c r="K13" s="8"/>
      <c r="L13" s="8"/>
    </row>
    <row r="14" spans="1:12" ht="15" customHeight="1" x14ac:dyDescent="0.25">
      <c r="A14" s="8"/>
      <c r="B14" s="8"/>
      <c r="C14" s="8"/>
      <c r="D14" s="8"/>
      <c r="E14" s="8"/>
      <c r="F14" s="8"/>
      <c r="G14" s="8"/>
      <c r="H14" s="8"/>
      <c r="I14" s="8"/>
      <c r="J14" s="8"/>
      <c r="K14" s="8"/>
      <c r="L14" s="8"/>
    </row>
    <row r="15" spans="1:12" ht="15" customHeight="1" x14ac:dyDescent="0.25">
      <c r="A15" s="8"/>
      <c r="B15" s="8"/>
      <c r="C15" s="8"/>
      <c r="D15" s="8"/>
      <c r="E15" s="8"/>
      <c r="F15" s="8"/>
      <c r="G15" s="8"/>
      <c r="H15" s="8"/>
      <c r="I15" s="8"/>
      <c r="J15" s="8"/>
      <c r="K15" s="8"/>
      <c r="L15" s="8"/>
    </row>
    <row r="16" spans="1:12" ht="15" customHeight="1" x14ac:dyDescent="0.25">
      <c r="A16" s="8"/>
      <c r="B16" s="8"/>
      <c r="C16" s="8"/>
      <c r="D16" s="8"/>
      <c r="E16" s="8"/>
      <c r="F16" s="8"/>
      <c r="G16" s="8"/>
      <c r="H16" s="8"/>
      <c r="I16" s="8"/>
      <c r="J16" s="8"/>
      <c r="K16" s="8"/>
      <c r="L16" s="8"/>
    </row>
    <row r="17" spans="1:12" ht="15" customHeight="1" x14ac:dyDescent="0.25">
      <c r="A17" s="8"/>
      <c r="B17" s="8"/>
      <c r="C17" s="8"/>
      <c r="D17" s="8"/>
      <c r="E17" s="8"/>
      <c r="F17" s="8"/>
      <c r="G17" s="8"/>
      <c r="H17" s="8"/>
      <c r="I17" s="8"/>
      <c r="J17" s="8"/>
      <c r="K17" s="8"/>
      <c r="L17" s="8"/>
    </row>
    <row r="18" spans="1:12" ht="15" customHeight="1" x14ac:dyDescent="0.25">
      <c r="A18" s="8"/>
      <c r="B18" s="8"/>
      <c r="C18" s="8"/>
      <c r="D18" s="8"/>
      <c r="E18" s="8"/>
      <c r="F18" s="8"/>
      <c r="G18" s="8"/>
      <c r="H18" s="8"/>
      <c r="I18" s="8"/>
      <c r="J18" s="8"/>
      <c r="K18" s="8"/>
      <c r="L18" s="8"/>
    </row>
    <row r="19" spans="1:12" ht="15" customHeight="1" x14ac:dyDescent="0.25">
      <c r="A19" s="8"/>
      <c r="B19" s="8"/>
      <c r="C19" s="8"/>
      <c r="D19" s="8"/>
      <c r="E19" s="8"/>
      <c r="F19" s="8"/>
      <c r="G19" s="8"/>
      <c r="H19" s="8"/>
      <c r="I19" s="8"/>
      <c r="J19" s="8"/>
      <c r="K19" s="8"/>
      <c r="L19" s="8"/>
    </row>
    <row r="20" spans="1:12" ht="15" customHeight="1" x14ac:dyDescent="0.25">
      <c r="A20" s="8"/>
      <c r="B20" s="8"/>
      <c r="C20" s="8"/>
      <c r="D20" s="8"/>
      <c r="E20" s="8"/>
      <c r="F20" s="8"/>
      <c r="G20" s="8"/>
      <c r="H20" s="8"/>
      <c r="I20" s="8"/>
      <c r="J20" s="8"/>
      <c r="K20" s="8"/>
      <c r="L20" s="8"/>
    </row>
    <row r="21" spans="1:12" ht="15" customHeight="1" x14ac:dyDescent="0.25">
      <c r="A21" s="8"/>
      <c r="B21" s="8"/>
      <c r="C21" s="8"/>
      <c r="D21" s="8"/>
      <c r="E21" s="8"/>
      <c r="F21" s="8"/>
      <c r="G21" s="8"/>
      <c r="H21" s="8"/>
      <c r="I21" s="8"/>
      <c r="J21" s="8"/>
      <c r="K21" s="8"/>
      <c r="L21" s="8"/>
    </row>
    <row r="22" spans="1:12" ht="15" customHeight="1" x14ac:dyDescent="0.25">
      <c r="A22" s="8"/>
      <c r="B22" s="8"/>
      <c r="C22" s="8"/>
      <c r="D22" s="8"/>
      <c r="E22" s="8"/>
      <c r="F22" s="8"/>
      <c r="G22" s="8"/>
      <c r="H22" s="8"/>
      <c r="I22" s="8"/>
      <c r="J22" s="8"/>
      <c r="K22" s="8"/>
      <c r="L22" s="8"/>
    </row>
    <row r="23" spans="1:12" ht="15" customHeight="1" x14ac:dyDescent="0.25">
      <c r="A23" s="8"/>
      <c r="B23" s="8"/>
      <c r="C23" s="8"/>
      <c r="D23" s="8"/>
      <c r="E23" s="8"/>
      <c r="F23" s="8"/>
      <c r="G23" s="8"/>
      <c r="H23" s="8"/>
      <c r="I23" s="8"/>
      <c r="J23" s="8"/>
      <c r="K23" s="8"/>
      <c r="L23" s="8"/>
    </row>
    <row r="24" spans="1:12" ht="15" customHeight="1" x14ac:dyDescent="0.25">
      <c r="A24" s="8"/>
      <c r="B24" s="8"/>
      <c r="C24" s="8"/>
      <c r="D24" s="8"/>
      <c r="E24" s="8"/>
      <c r="F24" s="8"/>
      <c r="G24" s="8"/>
      <c r="H24" s="8"/>
      <c r="I24" s="8"/>
      <c r="J24" s="8"/>
      <c r="K24" s="8"/>
      <c r="L24" s="8"/>
    </row>
    <row r="25" spans="1:12" ht="15" customHeight="1" x14ac:dyDescent="0.25">
      <c r="A25" s="8"/>
      <c r="B25" s="8"/>
      <c r="C25" s="8"/>
      <c r="D25" s="8"/>
      <c r="E25" s="8"/>
      <c r="F25" s="8"/>
      <c r="G25" s="8"/>
      <c r="H25" s="8"/>
      <c r="I25" s="8"/>
      <c r="J25" s="8"/>
      <c r="K25" s="8"/>
      <c r="L25" s="8"/>
    </row>
  </sheetData>
  <mergeCells count="1">
    <mergeCell ref="A2:L2"/>
  </mergeCells>
  <dataValidations count="1">
    <dataValidation type="list" allowBlank="1" errorTitle="Closed value set" error="Not one of the permitted values. The application enforces this enum." sqref="I5:I25" xr:uid="{00000000-0002-0000-0200-000000000000}">
      <formula1>"prospecting,pending,acquired,development,stabilised,disposition_pending,exited"</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79F6B"/>
  </sheetPr>
  <dimension ref="A1:I25"/>
  <sheetViews>
    <sheetView tabSelected="1" zoomScaleNormal="100" workbookViewId="0">
      <pane xSplit="1" ySplit="4" topLeftCell="B5" activePane="bottomRight" state="frozen"/>
      <selection pane="topRight" activeCell="B1" sqref="B1"/>
      <selection pane="bottomLeft" activeCell="A5" sqref="A5"/>
      <selection pane="bottomRight" activeCell="I6" sqref="I6"/>
    </sheetView>
  </sheetViews>
  <sheetFormatPr defaultColWidth="8.7109375" defaultRowHeight="15" x14ac:dyDescent="0.25"/>
  <cols>
    <col min="1" max="1" width="12" customWidth="1"/>
    <col min="2" max="4" width="16" customWidth="1"/>
    <col min="5" max="6" width="18" customWidth="1"/>
    <col min="7" max="7" width="22" customWidth="1"/>
    <col min="8" max="9" width="20" customWidth="1"/>
  </cols>
  <sheetData>
    <row r="1" spans="1:9" ht="19.5" customHeight="1" x14ac:dyDescent="0.3">
      <c r="A1" s="2" t="s">
        <v>85</v>
      </c>
    </row>
    <row r="2" spans="1:9" ht="31.5" customHeight="1" x14ac:dyDescent="0.25">
      <c r="A2" s="23" t="s">
        <v>86</v>
      </c>
      <c r="B2" s="23"/>
      <c r="C2" s="23"/>
      <c r="D2" s="23"/>
      <c r="E2" s="23"/>
      <c r="F2" s="23"/>
      <c r="G2" s="23"/>
      <c r="H2" s="23"/>
      <c r="I2" s="23"/>
    </row>
    <row r="4" spans="1:9" ht="42" customHeight="1" x14ac:dyDescent="0.25">
      <c r="A4" s="6" t="s">
        <v>28</v>
      </c>
      <c r="B4" s="6" t="s">
        <v>87</v>
      </c>
      <c r="C4" s="6" t="s">
        <v>88</v>
      </c>
      <c r="D4" s="6" t="s">
        <v>89</v>
      </c>
      <c r="E4" s="6" t="s">
        <v>90</v>
      </c>
      <c r="F4" s="6" t="s">
        <v>91</v>
      </c>
      <c r="G4" s="6" t="s">
        <v>92</v>
      </c>
      <c r="H4" s="6" t="s">
        <v>93</v>
      </c>
      <c r="I4" s="6" t="s">
        <v>94</v>
      </c>
    </row>
    <row r="5" spans="1:9" ht="15" customHeight="1" x14ac:dyDescent="0.25">
      <c r="A5" s="7" t="s">
        <v>40</v>
      </c>
      <c r="B5" s="9">
        <v>30000000</v>
      </c>
      <c r="C5" s="9">
        <v>10000000</v>
      </c>
      <c r="D5" s="9">
        <v>55000000</v>
      </c>
      <c r="E5" s="9">
        <f t="shared" ref="E5:E25" si="0">IF(B5="","",B5+C5)</f>
        <v>40000000</v>
      </c>
      <c r="F5" s="9">
        <f t="shared" ref="F5:F25" si="1">IF(B5="","",E5+D5)</f>
        <v>95000000</v>
      </c>
      <c r="G5" s="7" t="s">
        <v>95</v>
      </c>
      <c r="H5" s="7"/>
      <c r="I5" s="7" t="s">
        <v>96</v>
      </c>
    </row>
    <row r="6" spans="1:9" ht="15" customHeight="1" x14ac:dyDescent="0.25">
      <c r="A6" s="7" t="s">
        <v>50</v>
      </c>
      <c r="B6" s="9">
        <v>10000000</v>
      </c>
      <c r="C6" s="10">
        <v>10000000</v>
      </c>
      <c r="D6" s="10">
        <v>30000000</v>
      </c>
      <c r="E6" s="11">
        <f t="shared" si="0"/>
        <v>20000000</v>
      </c>
      <c r="F6" s="11">
        <f t="shared" si="1"/>
        <v>50000000</v>
      </c>
      <c r="G6" s="7" t="s">
        <v>95</v>
      </c>
      <c r="H6" s="8"/>
      <c r="I6" s="7" t="s">
        <v>96</v>
      </c>
    </row>
    <row r="7" spans="1:9" ht="15" customHeight="1" x14ac:dyDescent="0.25">
      <c r="A7" s="7" t="s">
        <v>53</v>
      </c>
      <c r="B7" s="9">
        <v>60000000</v>
      </c>
      <c r="C7" s="9">
        <v>40000000</v>
      </c>
      <c r="D7" s="9">
        <v>50000000</v>
      </c>
      <c r="E7" s="11">
        <f t="shared" si="0"/>
        <v>100000000</v>
      </c>
      <c r="F7" s="11">
        <f t="shared" si="1"/>
        <v>150000000</v>
      </c>
      <c r="G7" s="7" t="s">
        <v>97</v>
      </c>
      <c r="H7" s="7"/>
      <c r="I7" s="7" t="s">
        <v>96</v>
      </c>
    </row>
    <row r="8" spans="1:9" ht="15" customHeight="1" x14ac:dyDescent="0.25">
      <c r="A8" s="8"/>
      <c r="B8" s="10"/>
      <c r="C8" s="10"/>
      <c r="D8" s="10"/>
      <c r="E8" s="11" t="str">
        <f t="shared" si="0"/>
        <v/>
      </c>
      <c r="F8" s="11" t="str">
        <f t="shared" si="1"/>
        <v/>
      </c>
      <c r="G8" s="8"/>
      <c r="H8" s="8"/>
      <c r="I8" s="8"/>
    </row>
    <row r="9" spans="1:9" ht="15" customHeight="1" x14ac:dyDescent="0.25">
      <c r="A9" s="8"/>
      <c r="B9" s="10"/>
      <c r="C9" s="10"/>
      <c r="D9" s="10"/>
      <c r="E9" s="11" t="str">
        <f t="shared" si="0"/>
        <v/>
      </c>
      <c r="F9" s="11" t="str">
        <f t="shared" si="1"/>
        <v/>
      </c>
      <c r="G9" s="8"/>
      <c r="H9" s="8"/>
      <c r="I9" s="8"/>
    </row>
    <row r="10" spans="1:9" ht="15" customHeight="1" x14ac:dyDescent="0.25">
      <c r="A10" s="8"/>
      <c r="B10" s="10"/>
      <c r="C10" s="10"/>
      <c r="D10" s="10"/>
      <c r="E10" s="11" t="str">
        <f t="shared" si="0"/>
        <v/>
      </c>
      <c r="F10" s="11" t="str">
        <f t="shared" si="1"/>
        <v/>
      </c>
      <c r="G10" s="8"/>
      <c r="H10" s="8"/>
      <c r="I10" s="8"/>
    </row>
    <row r="11" spans="1:9" ht="15" customHeight="1" x14ac:dyDescent="0.25">
      <c r="A11" s="8"/>
      <c r="B11" s="10"/>
      <c r="C11" s="10"/>
      <c r="D11" s="10"/>
      <c r="E11" s="11" t="str">
        <f t="shared" si="0"/>
        <v/>
      </c>
      <c r="F11" s="11" t="str">
        <f t="shared" si="1"/>
        <v/>
      </c>
      <c r="G11" s="8"/>
      <c r="H11" s="8"/>
      <c r="I11" s="8"/>
    </row>
    <row r="12" spans="1:9" ht="15" customHeight="1" x14ac:dyDescent="0.25">
      <c r="A12" s="8"/>
      <c r="B12" s="10"/>
      <c r="C12" s="10"/>
      <c r="D12" s="10"/>
      <c r="E12" s="11" t="str">
        <f t="shared" si="0"/>
        <v/>
      </c>
      <c r="F12" s="11" t="str">
        <f t="shared" si="1"/>
        <v/>
      </c>
      <c r="G12" s="8"/>
      <c r="H12" s="8"/>
      <c r="I12" s="8"/>
    </row>
    <row r="13" spans="1:9" ht="15" customHeight="1" x14ac:dyDescent="0.25">
      <c r="A13" s="8"/>
      <c r="B13" s="10"/>
      <c r="C13" s="10"/>
      <c r="D13" s="10"/>
      <c r="E13" s="11" t="str">
        <f t="shared" si="0"/>
        <v/>
      </c>
      <c r="F13" s="11" t="str">
        <f t="shared" si="1"/>
        <v/>
      </c>
      <c r="G13" s="8"/>
      <c r="H13" s="8"/>
      <c r="I13" s="8"/>
    </row>
    <row r="14" spans="1:9" ht="15" customHeight="1" x14ac:dyDescent="0.25">
      <c r="A14" s="8"/>
      <c r="B14" s="10"/>
      <c r="C14" s="10"/>
      <c r="D14" s="10"/>
      <c r="E14" s="11" t="str">
        <f t="shared" si="0"/>
        <v/>
      </c>
      <c r="F14" s="11" t="str">
        <f t="shared" si="1"/>
        <v/>
      </c>
      <c r="G14" s="8"/>
      <c r="H14" s="8"/>
      <c r="I14" s="8"/>
    </row>
    <row r="15" spans="1:9" ht="15" customHeight="1" x14ac:dyDescent="0.25">
      <c r="A15" s="8"/>
      <c r="B15" s="10"/>
      <c r="C15" s="10"/>
      <c r="D15" s="10"/>
      <c r="E15" s="11" t="str">
        <f t="shared" si="0"/>
        <v/>
      </c>
      <c r="F15" s="11" t="str">
        <f t="shared" si="1"/>
        <v/>
      </c>
      <c r="G15" s="8"/>
      <c r="H15" s="8"/>
      <c r="I15" s="8"/>
    </row>
    <row r="16" spans="1:9" ht="15" customHeight="1" x14ac:dyDescent="0.25">
      <c r="A16" s="8"/>
      <c r="B16" s="10"/>
      <c r="C16" s="10"/>
      <c r="D16" s="10"/>
      <c r="E16" s="11" t="str">
        <f t="shared" si="0"/>
        <v/>
      </c>
      <c r="F16" s="11" t="str">
        <f t="shared" si="1"/>
        <v/>
      </c>
      <c r="G16" s="8"/>
      <c r="H16" s="8"/>
      <c r="I16" s="8"/>
    </row>
    <row r="17" spans="1:9" ht="15" customHeight="1" x14ac:dyDescent="0.25">
      <c r="A17" s="8"/>
      <c r="B17" s="10"/>
      <c r="C17" s="10"/>
      <c r="D17" s="10"/>
      <c r="E17" s="11" t="str">
        <f t="shared" si="0"/>
        <v/>
      </c>
      <c r="F17" s="11" t="str">
        <f t="shared" si="1"/>
        <v/>
      </c>
      <c r="G17" s="8"/>
      <c r="H17" s="8"/>
      <c r="I17" s="8"/>
    </row>
    <row r="18" spans="1:9" ht="15" customHeight="1" x14ac:dyDescent="0.25">
      <c r="A18" s="8"/>
      <c r="B18" s="10"/>
      <c r="C18" s="10"/>
      <c r="D18" s="10"/>
      <c r="E18" s="11" t="str">
        <f t="shared" si="0"/>
        <v/>
      </c>
      <c r="F18" s="11" t="str">
        <f t="shared" si="1"/>
        <v/>
      </c>
      <c r="G18" s="8"/>
      <c r="H18" s="8"/>
      <c r="I18" s="8"/>
    </row>
    <row r="19" spans="1:9" ht="15" customHeight="1" x14ac:dyDescent="0.25">
      <c r="A19" s="8"/>
      <c r="B19" s="10"/>
      <c r="C19" s="10"/>
      <c r="D19" s="10"/>
      <c r="E19" s="11" t="str">
        <f t="shared" si="0"/>
        <v/>
      </c>
      <c r="F19" s="11" t="str">
        <f t="shared" si="1"/>
        <v/>
      </c>
      <c r="G19" s="8"/>
      <c r="H19" s="8"/>
      <c r="I19" s="8"/>
    </row>
    <row r="20" spans="1:9" ht="15" customHeight="1" x14ac:dyDescent="0.25">
      <c r="A20" s="8"/>
      <c r="B20" s="10"/>
      <c r="C20" s="10"/>
      <c r="D20" s="10"/>
      <c r="E20" s="11" t="str">
        <f t="shared" si="0"/>
        <v/>
      </c>
      <c r="F20" s="11" t="str">
        <f t="shared" si="1"/>
        <v/>
      </c>
      <c r="G20" s="8"/>
      <c r="H20" s="8"/>
      <c r="I20" s="8"/>
    </row>
    <row r="21" spans="1:9" ht="15" customHeight="1" x14ac:dyDescent="0.25">
      <c r="A21" s="8"/>
      <c r="B21" s="10"/>
      <c r="C21" s="10"/>
      <c r="D21" s="10"/>
      <c r="E21" s="11" t="str">
        <f t="shared" si="0"/>
        <v/>
      </c>
      <c r="F21" s="11" t="str">
        <f t="shared" si="1"/>
        <v/>
      </c>
      <c r="G21" s="8"/>
      <c r="H21" s="8"/>
      <c r="I21" s="8"/>
    </row>
    <row r="22" spans="1:9" ht="15" customHeight="1" x14ac:dyDescent="0.25">
      <c r="A22" s="8"/>
      <c r="B22" s="10"/>
      <c r="C22" s="10"/>
      <c r="D22" s="10"/>
      <c r="E22" s="11" t="str">
        <f t="shared" si="0"/>
        <v/>
      </c>
      <c r="F22" s="11" t="str">
        <f t="shared" si="1"/>
        <v/>
      </c>
      <c r="G22" s="8"/>
      <c r="H22" s="8"/>
      <c r="I22" s="8"/>
    </row>
    <row r="23" spans="1:9" ht="15" customHeight="1" x14ac:dyDescent="0.25">
      <c r="A23" s="8"/>
      <c r="B23" s="10"/>
      <c r="C23" s="10"/>
      <c r="D23" s="10"/>
      <c r="E23" s="11" t="str">
        <f t="shared" si="0"/>
        <v/>
      </c>
      <c r="F23" s="11" t="str">
        <f t="shared" si="1"/>
        <v/>
      </c>
      <c r="G23" s="8"/>
      <c r="H23" s="8"/>
      <c r="I23" s="8"/>
    </row>
    <row r="24" spans="1:9" ht="15" customHeight="1" x14ac:dyDescent="0.25">
      <c r="A24" s="8"/>
      <c r="B24" s="10"/>
      <c r="C24" s="10"/>
      <c r="D24" s="10"/>
      <c r="E24" s="11" t="str">
        <f t="shared" si="0"/>
        <v/>
      </c>
      <c r="F24" s="11" t="str">
        <f t="shared" si="1"/>
        <v/>
      </c>
      <c r="G24" s="8"/>
      <c r="H24" s="8"/>
      <c r="I24" s="8"/>
    </row>
    <row r="25" spans="1:9" ht="15" customHeight="1" x14ac:dyDescent="0.25">
      <c r="A25" s="8"/>
      <c r="B25" s="10"/>
      <c r="C25" s="10"/>
      <c r="D25" s="10"/>
      <c r="E25" s="11" t="str">
        <f t="shared" si="0"/>
        <v/>
      </c>
      <c r="F25" s="11" t="str">
        <f t="shared" si="1"/>
        <v/>
      </c>
      <c r="G25" s="8"/>
      <c r="H25" s="8"/>
      <c r="I25" s="8"/>
    </row>
  </sheetData>
  <mergeCells count="1">
    <mergeCell ref="A2:I2"/>
  </mergeCells>
  <pageMargins left="0.75" right="0.75" top="1" bottom="1"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C6635"/>
  </sheetPr>
  <dimension ref="A1:Q25"/>
  <sheetViews>
    <sheetView zoomScaleNormal="100" workbookViewId="0">
      <pane xSplit="1" ySplit="4" topLeftCell="H5" activePane="bottomRight" state="frozen"/>
      <selection pane="topRight" activeCell="B1" sqref="B1"/>
      <selection pane="bottomLeft" activeCell="A5" sqref="A5"/>
      <selection pane="bottomRight" activeCell="O7" sqref="O7"/>
    </sheetView>
  </sheetViews>
  <sheetFormatPr defaultColWidth="8.7109375" defaultRowHeight="15" x14ac:dyDescent="0.25"/>
  <cols>
    <col min="1" max="4" width="12" customWidth="1"/>
    <col min="5" max="5" width="14" customWidth="1"/>
    <col min="6" max="6" width="3.5703125" customWidth="1"/>
    <col min="7" max="7" width="15.85546875" customWidth="1"/>
    <col min="8" max="9" width="14" customWidth="1"/>
    <col min="10" max="10" width="16.5703125" customWidth="1"/>
    <col min="11" max="11" width="16" customWidth="1"/>
    <col min="12" max="12" width="14" customWidth="1"/>
    <col min="13" max="13" width="18" customWidth="1"/>
    <col min="14" max="16" width="14" customWidth="1"/>
    <col min="17" max="17" width="26" customWidth="1"/>
  </cols>
  <sheetData>
    <row r="1" spans="1:17" ht="19.5" customHeight="1" x14ac:dyDescent="0.3">
      <c r="A1" s="2" t="s">
        <v>98</v>
      </c>
      <c r="B1" s="2"/>
      <c r="C1" s="2"/>
      <c r="J1" t="s">
        <v>360</v>
      </c>
      <c r="K1" t="s">
        <v>362</v>
      </c>
    </row>
    <row r="2" spans="1:17" ht="31.5" customHeight="1" x14ac:dyDescent="0.25">
      <c r="A2" s="23" t="s">
        <v>99</v>
      </c>
      <c r="B2" s="23"/>
      <c r="C2" s="23"/>
      <c r="D2" s="23"/>
      <c r="E2" s="23"/>
      <c r="F2" s="23"/>
      <c r="G2" s="23"/>
      <c r="H2" s="23"/>
      <c r="I2" s="23"/>
      <c r="J2" s="23"/>
      <c r="K2" s="23"/>
      <c r="L2" s="23"/>
      <c r="M2" s="23"/>
      <c r="N2" s="23"/>
      <c r="O2" s="23"/>
      <c r="P2" s="23"/>
      <c r="Q2" s="23"/>
    </row>
    <row r="4" spans="1:17" ht="42" customHeight="1" x14ac:dyDescent="0.25">
      <c r="A4" s="6" t="s">
        <v>28</v>
      </c>
      <c r="B4" s="6" t="s">
        <v>356</v>
      </c>
      <c r="C4" s="6" t="s">
        <v>100</v>
      </c>
      <c r="D4" s="6" t="s">
        <v>101</v>
      </c>
      <c r="E4" s="6" t="s">
        <v>102</v>
      </c>
      <c r="F4" s="6"/>
      <c r="G4" s="6" t="s">
        <v>359</v>
      </c>
      <c r="H4" s="6" t="s">
        <v>357</v>
      </c>
      <c r="I4" s="6" t="s">
        <v>358</v>
      </c>
      <c r="J4" s="6" t="s">
        <v>361</v>
      </c>
      <c r="K4" s="6" t="s">
        <v>363</v>
      </c>
      <c r="L4" s="6" t="s">
        <v>103</v>
      </c>
      <c r="M4" s="6" t="s">
        <v>104</v>
      </c>
      <c r="N4" s="6" t="s">
        <v>105</v>
      </c>
      <c r="O4" s="6" t="s">
        <v>355</v>
      </c>
      <c r="P4" s="6" t="s">
        <v>106</v>
      </c>
      <c r="Q4" s="6" t="s">
        <v>107</v>
      </c>
    </row>
    <row r="5" spans="1:17" ht="15" customHeight="1" x14ac:dyDescent="0.25">
      <c r="A5" s="7" t="s">
        <v>40</v>
      </c>
      <c r="B5" s="12">
        <v>1000</v>
      </c>
      <c r="C5" s="12">
        <v>500</v>
      </c>
      <c r="D5" s="12">
        <v>500</v>
      </c>
      <c r="E5" s="12">
        <v>5000</v>
      </c>
      <c r="F5" s="12"/>
      <c r="G5" s="13">
        <v>40000000</v>
      </c>
      <c r="H5" s="13">
        <v>16000000</v>
      </c>
      <c r="I5" s="13">
        <f>+G5-H5</f>
        <v>24000000</v>
      </c>
      <c r="J5" s="13">
        <v>55000000</v>
      </c>
      <c r="K5" s="13">
        <f>+G5+J5</f>
        <v>95000000</v>
      </c>
      <c r="L5" s="12">
        <v>6</v>
      </c>
      <c r="M5" s="13">
        <f>+G5/(B5/100)</f>
        <v>4000000</v>
      </c>
      <c r="N5" s="12">
        <v>5</v>
      </c>
      <c r="O5" s="12">
        <v>1</v>
      </c>
      <c r="P5" s="9">
        <v>50000</v>
      </c>
      <c r="Q5" s="7" t="s">
        <v>108</v>
      </c>
    </row>
    <row r="6" spans="1:17" ht="15" customHeight="1" x14ac:dyDescent="0.25">
      <c r="A6" s="7" t="s">
        <v>50</v>
      </c>
      <c r="B6" s="12">
        <v>1000</v>
      </c>
      <c r="C6" s="12">
        <v>500</v>
      </c>
      <c r="D6" s="12">
        <v>500</v>
      </c>
      <c r="E6" s="12">
        <v>5000</v>
      </c>
      <c r="F6" s="12"/>
      <c r="G6" s="13">
        <v>25000000</v>
      </c>
      <c r="H6" s="13">
        <v>10000000</v>
      </c>
      <c r="I6" s="13">
        <f>+G6-H6</f>
        <v>15000000</v>
      </c>
      <c r="J6" s="13">
        <v>30000000</v>
      </c>
      <c r="K6" s="13">
        <f t="shared" ref="K6:K7" si="0">+G6+J6</f>
        <v>55000000</v>
      </c>
      <c r="L6" s="15">
        <v>4</v>
      </c>
      <c r="M6" s="13">
        <f t="shared" ref="M6:M7" si="1">+G6/(B6/100)</f>
        <v>2500000</v>
      </c>
      <c r="N6" s="14">
        <v>0</v>
      </c>
      <c r="O6" s="14">
        <v>4</v>
      </c>
      <c r="P6" s="9">
        <v>50000</v>
      </c>
      <c r="Q6" s="7" t="s">
        <v>108</v>
      </c>
    </row>
    <row r="7" spans="1:17" ht="15" customHeight="1" x14ac:dyDescent="0.25">
      <c r="A7" s="7" t="s">
        <v>53</v>
      </c>
      <c r="B7" s="12">
        <v>1000</v>
      </c>
      <c r="C7" s="12">
        <v>500</v>
      </c>
      <c r="D7" s="12">
        <v>500</v>
      </c>
      <c r="E7" s="12">
        <v>6000</v>
      </c>
      <c r="F7" s="12"/>
      <c r="G7" s="13">
        <v>100000000</v>
      </c>
      <c r="H7" s="13">
        <v>60000000</v>
      </c>
      <c r="I7" s="13">
        <f>+G7-H7</f>
        <v>40000000</v>
      </c>
      <c r="J7" s="13">
        <v>50000000</v>
      </c>
      <c r="K7" s="13">
        <f t="shared" si="0"/>
        <v>150000000</v>
      </c>
      <c r="L7" s="15">
        <f>+I7/M7</f>
        <v>4</v>
      </c>
      <c r="M7" s="13">
        <f t="shared" si="1"/>
        <v>10000000</v>
      </c>
      <c r="N7" s="12">
        <v>0</v>
      </c>
      <c r="O7" s="12">
        <v>4</v>
      </c>
      <c r="P7" s="9">
        <v>50000</v>
      </c>
      <c r="Q7" s="7" t="s">
        <v>108</v>
      </c>
    </row>
    <row r="8" spans="1:17" ht="15" customHeight="1" x14ac:dyDescent="0.25">
      <c r="A8" s="8"/>
      <c r="B8" s="8"/>
      <c r="C8" s="8"/>
      <c r="D8" s="14"/>
      <c r="E8" s="14"/>
      <c r="F8" s="14"/>
      <c r="G8" s="14"/>
      <c r="H8" s="14"/>
      <c r="I8" s="14"/>
      <c r="J8" s="14"/>
      <c r="K8" s="14"/>
      <c r="L8" s="15"/>
      <c r="M8" s="16" t="str">
        <f>IFERROR(IF(#REF!="","",INDEX('3 Capital stack'!$E$5:$E$25,MATCH(A8,'3 Capital stack'!$A$5:$A$25,0))/L8),"")</f>
        <v/>
      </c>
      <c r="N8" s="14"/>
      <c r="O8" s="14"/>
      <c r="P8" s="10"/>
      <c r="Q8" s="8"/>
    </row>
    <row r="9" spans="1:17" ht="15" customHeight="1" x14ac:dyDescent="0.25">
      <c r="A9" s="8"/>
      <c r="B9" s="8"/>
      <c r="C9" s="8"/>
      <c r="D9" s="14"/>
      <c r="E9" s="14"/>
      <c r="F9" s="14"/>
      <c r="G9" s="14"/>
      <c r="H9" s="14"/>
      <c r="I9" s="14"/>
      <c r="J9" s="14"/>
      <c r="K9" s="14"/>
      <c r="L9" s="15"/>
      <c r="M9" s="16" t="str">
        <f>IFERROR(IF(#REF!="","",INDEX('3 Capital stack'!$E$5:$E$25,MATCH(A9,'3 Capital stack'!$A$5:$A$25,0))/L9),"")</f>
        <v/>
      </c>
      <c r="N9" s="14"/>
      <c r="O9" s="14"/>
      <c r="P9" s="10"/>
      <c r="Q9" s="8"/>
    </row>
    <row r="10" spans="1:17" ht="15" customHeight="1" x14ac:dyDescent="0.25">
      <c r="A10" s="8"/>
      <c r="B10" s="8"/>
      <c r="C10" s="8"/>
      <c r="D10" s="14"/>
      <c r="E10" s="14"/>
      <c r="F10" s="14"/>
      <c r="G10" s="14"/>
      <c r="H10" s="14"/>
      <c r="I10" s="14"/>
      <c r="J10" s="14"/>
      <c r="K10" s="14"/>
      <c r="L10" s="15"/>
      <c r="M10" s="16" t="str">
        <f>IFERROR(IF(#REF!="","",INDEX('3 Capital stack'!$E$5:$E$25,MATCH(A10,'3 Capital stack'!$A$5:$A$25,0))/L10),"")</f>
        <v/>
      </c>
      <c r="N10" s="14"/>
      <c r="O10" s="14"/>
      <c r="P10" s="10"/>
      <c r="Q10" s="8"/>
    </row>
    <row r="11" spans="1:17" ht="15" customHeight="1" x14ac:dyDescent="0.25">
      <c r="A11" s="8"/>
      <c r="B11" s="8"/>
      <c r="C11" s="8"/>
      <c r="D11" s="14"/>
      <c r="E11" s="14"/>
      <c r="F11" s="14"/>
      <c r="G11" s="14"/>
      <c r="H11" s="14"/>
      <c r="I11" s="14"/>
      <c r="J11" s="14"/>
      <c r="K11" s="14"/>
      <c r="L11" s="15"/>
      <c r="M11" s="16" t="str">
        <f>IFERROR(IF(#REF!="","",INDEX('3 Capital stack'!$E$5:$E$25,MATCH(A11,'3 Capital stack'!$A$5:$A$25,0))/L11),"")</f>
        <v/>
      </c>
      <c r="N11" s="14"/>
      <c r="O11" s="14"/>
      <c r="P11" s="10"/>
      <c r="Q11" s="8"/>
    </row>
    <row r="12" spans="1:17" ht="15" customHeight="1" x14ac:dyDescent="0.25">
      <c r="A12" s="8"/>
      <c r="B12" s="8"/>
      <c r="C12" s="8"/>
      <c r="D12" s="14"/>
      <c r="E12" s="14"/>
      <c r="F12" s="14"/>
      <c r="G12" s="14"/>
      <c r="H12" s="14"/>
      <c r="I12" s="14"/>
      <c r="J12" s="14"/>
      <c r="K12" s="14"/>
      <c r="L12" s="15"/>
      <c r="M12" s="16" t="str">
        <f>IFERROR(IF(#REF!="","",INDEX('3 Capital stack'!$E$5:$E$25,MATCH(A12,'3 Capital stack'!$A$5:$A$25,0))/L12),"")</f>
        <v/>
      </c>
      <c r="N12" s="14"/>
      <c r="O12" s="14"/>
      <c r="P12" s="10"/>
      <c r="Q12" s="8"/>
    </row>
    <row r="13" spans="1:17" ht="15" customHeight="1" x14ac:dyDescent="0.25">
      <c r="A13" s="8"/>
      <c r="B13" s="8"/>
      <c r="C13" s="8"/>
      <c r="D13" s="14"/>
      <c r="E13" s="14"/>
      <c r="F13" s="14"/>
      <c r="G13" s="14"/>
      <c r="H13" s="14"/>
      <c r="I13" s="14"/>
      <c r="J13" s="14"/>
      <c r="K13" s="14"/>
      <c r="L13" s="15"/>
      <c r="M13" s="16" t="str">
        <f>IFERROR(IF(#REF!="","",INDEX('3 Capital stack'!$E$5:$E$25,MATCH(A13,'3 Capital stack'!$A$5:$A$25,0))/L13),"")</f>
        <v/>
      </c>
      <c r="N13" s="14"/>
      <c r="O13" s="14"/>
      <c r="P13" s="10"/>
      <c r="Q13" s="8"/>
    </row>
    <row r="14" spans="1:17" ht="15" customHeight="1" x14ac:dyDescent="0.25">
      <c r="A14" s="8"/>
      <c r="B14" s="8"/>
      <c r="C14" s="8"/>
      <c r="D14" s="14"/>
      <c r="E14" s="14"/>
      <c r="F14" s="14"/>
      <c r="G14" s="14"/>
      <c r="H14" s="14"/>
      <c r="I14" s="14"/>
      <c r="J14" s="14"/>
      <c r="K14" s="14"/>
      <c r="L14" s="15"/>
      <c r="M14" s="16" t="str">
        <f>IFERROR(IF(#REF!="","",INDEX('3 Capital stack'!$E$5:$E$25,MATCH(A14,'3 Capital stack'!$A$5:$A$25,0))/L14),"")</f>
        <v/>
      </c>
      <c r="N14" s="14"/>
      <c r="O14" s="14"/>
      <c r="P14" s="10"/>
      <c r="Q14" s="8"/>
    </row>
    <row r="15" spans="1:17" ht="15" customHeight="1" x14ac:dyDescent="0.25">
      <c r="A15" s="8"/>
      <c r="B15" s="8"/>
      <c r="C15" s="8"/>
      <c r="D15" s="14"/>
      <c r="E15" s="14"/>
      <c r="F15" s="14"/>
      <c r="G15" s="14"/>
      <c r="H15" s="14"/>
      <c r="I15" s="14"/>
      <c r="J15" s="14"/>
      <c r="K15" s="14"/>
      <c r="L15" s="15"/>
      <c r="M15" s="16" t="str">
        <f>IFERROR(IF(#REF!="","",INDEX('3 Capital stack'!$E$5:$E$25,MATCH(A15,'3 Capital stack'!$A$5:$A$25,0))/L15),"")</f>
        <v/>
      </c>
      <c r="N15" s="14"/>
      <c r="O15" s="14"/>
      <c r="P15" s="10"/>
      <c r="Q15" s="8"/>
    </row>
    <row r="16" spans="1:17" ht="15" customHeight="1" x14ac:dyDescent="0.25">
      <c r="A16" s="8"/>
      <c r="B16" s="8"/>
      <c r="C16" s="8"/>
      <c r="D16" s="14"/>
      <c r="E16" s="14"/>
      <c r="F16" s="14"/>
      <c r="G16" s="14"/>
      <c r="H16" s="14"/>
      <c r="I16" s="14"/>
      <c r="J16" s="14"/>
      <c r="K16" s="14"/>
      <c r="L16" s="15"/>
      <c r="M16" s="16" t="str">
        <f>IFERROR(IF(#REF!="","",INDEX('3 Capital stack'!$E$5:$E$25,MATCH(A16,'3 Capital stack'!$A$5:$A$25,0))/L16),"")</f>
        <v/>
      </c>
      <c r="N16" s="14"/>
      <c r="O16" s="14"/>
      <c r="P16" s="10"/>
      <c r="Q16" s="8"/>
    </row>
    <row r="17" spans="1:17" ht="15" customHeight="1" x14ac:dyDescent="0.25">
      <c r="A17" s="8"/>
      <c r="B17" s="8"/>
      <c r="C17" s="8"/>
      <c r="D17" s="14"/>
      <c r="E17" s="14"/>
      <c r="F17" s="14"/>
      <c r="G17" s="14"/>
      <c r="H17" s="14"/>
      <c r="I17" s="14"/>
      <c r="J17" s="14"/>
      <c r="K17" s="14"/>
      <c r="L17" s="15"/>
      <c r="M17" s="16" t="str">
        <f>IFERROR(IF(#REF!="","",INDEX('3 Capital stack'!$E$5:$E$25,MATCH(A17,'3 Capital stack'!$A$5:$A$25,0))/L17),"")</f>
        <v/>
      </c>
      <c r="N17" s="14"/>
      <c r="O17" s="14"/>
      <c r="P17" s="10"/>
      <c r="Q17" s="8"/>
    </row>
    <row r="18" spans="1:17" ht="15" customHeight="1" x14ac:dyDescent="0.25">
      <c r="A18" s="8"/>
      <c r="B18" s="8"/>
      <c r="C18" s="8"/>
      <c r="D18" s="14"/>
      <c r="E18" s="14"/>
      <c r="F18" s="14"/>
      <c r="G18" s="14"/>
      <c r="H18" s="14"/>
      <c r="I18" s="14"/>
      <c r="J18" s="14"/>
      <c r="K18" s="14"/>
      <c r="L18" s="15"/>
      <c r="M18" s="16" t="str">
        <f>IFERROR(IF(#REF!="","",INDEX('3 Capital stack'!$E$5:$E$25,MATCH(A18,'3 Capital stack'!$A$5:$A$25,0))/L18),"")</f>
        <v/>
      </c>
      <c r="N18" s="14"/>
      <c r="O18" s="14"/>
      <c r="P18" s="10"/>
      <c r="Q18" s="8"/>
    </row>
    <row r="19" spans="1:17" ht="15" customHeight="1" x14ac:dyDescent="0.25">
      <c r="A19" s="8"/>
      <c r="B19" s="8"/>
      <c r="C19" s="8"/>
      <c r="D19" s="14"/>
      <c r="E19" s="14"/>
      <c r="F19" s="14"/>
      <c r="G19" s="14"/>
      <c r="H19" s="14"/>
      <c r="I19" s="14"/>
      <c r="J19" s="14"/>
      <c r="K19" s="14"/>
      <c r="L19" s="15"/>
      <c r="M19" s="16" t="str">
        <f>IFERROR(IF(#REF!="","",INDEX('3 Capital stack'!$E$5:$E$25,MATCH(A19,'3 Capital stack'!$A$5:$A$25,0))/L19),"")</f>
        <v/>
      </c>
      <c r="N19" s="14"/>
      <c r="O19" s="14"/>
      <c r="P19" s="10"/>
      <c r="Q19" s="8"/>
    </row>
    <row r="20" spans="1:17" ht="15" customHeight="1" x14ac:dyDescent="0.25">
      <c r="A20" s="8"/>
      <c r="B20" s="8"/>
      <c r="C20" s="8"/>
      <c r="D20" s="14"/>
      <c r="E20" s="14"/>
      <c r="F20" s="14"/>
      <c r="G20" s="14"/>
      <c r="H20" s="14"/>
      <c r="I20" s="14"/>
      <c r="J20" s="14"/>
      <c r="K20" s="14"/>
      <c r="L20" s="15"/>
      <c r="M20" s="16" t="str">
        <f>IFERROR(IF(#REF!="","",INDEX('3 Capital stack'!$E$5:$E$25,MATCH(A20,'3 Capital stack'!$A$5:$A$25,0))/L20),"")</f>
        <v/>
      </c>
      <c r="N20" s="14"/>
      <c r="O20" s="14"/>
      <c r="P20" s="10"/>
      <c r="Q20" s="8"/>
    </row>
    <row r="21" spans="1:17" ht="15" customHeight="1" x14ac:dyDescent="0.25">
      <c r="A21" s="8"/>
      <c r="B21" s="8"/>
      <c r="C21" s="8"/>
      <c r="D21" s="14"/>
      <c r="E21" s="14"/>
      <c r="F21" s="14"/>
      <c r="G21" s="14"/>
      <c r="H21" s="14"/>
      <c r="I21" s="14"/>
      <c r="J21" s="14"/>
      <c r="K21" s="14"/>
      <c r="L21" s="15"/>
      <c r="M21" s="16" t="str">
        <f>IFERROR(IF(#REF!="","",INDEX('3 Capital stack'!$E$5:$E$25,MATCH(A21,'3 Capital stack'!$A$5:$A$25,0))/L21),"")</f>
        <v/>
      </c>
      <c r="N21" s="14"/>
      <c r="O21" s="14"/>
      <c r="P21" s="10"/>
      <c r="Q21" s="8"/>
    </row>
    <row r="22" spans="1:17" ht="15" customHeight="1" x14ac:dyDescent="0.25">
      <c r="A22" s="8"/>
      <c r="B22" s="8"/>
      <c r="C22" s="8"/>
      <c r="D22" s="14"/>
      <c r="E22" s="14"/>
      <c r="F22" s="14"/>
      <c r="G22" s="14"/>
      <c r="H22" s="14"/>
      <c r="I22" s="14"/>
      <c r="J22" s="14"/>
      <c r="K22" s="14"/>
      <c r="L22" s="15"/>
      <c r="M22" s="16" t="str">
        <f>IFERROR(IF(#REF!="","",INDEX('3 Capital stack'!$E$5:$E$25,MATCH(A22,'3 Capital stack'!$A$5:$A$25,0))/L22),"")</f>
        <v/>
      </c>
      <c r="N22" s="14"/>
      <c r="O22" s="14"/>
      <c r="P22" s="10"/>
      <c r="Q22" s="8"/>
    </row>
    <row r="23" spans="1:17" ht="15" customHeight="1" x14ac:dyDescent="0.25">
      <c r="A23" s="8"/>
      <c r="B23" s="8"/>
      <c r="C23" s="8"/>
      <c r="D23" s="14"/>
      <c r="E23" s="14"/>
      <c r="F23" s="14"/>
      <c r="G23" s="14"/>
      <c r="H23" s="14"/>
      <c r="I23" s="14"/>
      <c r="J23" s="14"/>
      <c r="K23" s="14"/>
      <c r="L23" s="15"/>
      <c r="M23" s="16" t="str">
        <f>IFERROR(IF(#REF!="","",INDEX('3 Capital stack'!$E$5:$E$25,MATCH(A23,'3 Capital stack'!$A$5:$A$25,0))/L23),"")</f>
        <v/>
      </c>
      <c r="N23" s="14"/>
      <c r="O23" s="14"/>
      <c r="P23" s="10"/>
      <c r="Q23" s="8"/>
    </row>
    <row r="24" spans="1:17" ht="15" customHeight="1" x14ac:dyDescent="0.25">
      <c r="A24" s="8"/>
      <c r="B24" s="8"/>
      <c r="C24" s="8"/>
      <c r="D24" s="14"/>
      <c r="E24" s="14"/>
      <c r="F24" s="14"/>
      <c r="G24" s="14"/>
      <c r="H24" s="14"/>
      <c r="I24" s="14"/>
      <c r="J24" s="14"/>
      <c r="K24" s="14"/>
      <c r="L24" s="15"/>
      <c r="M24" s="16" t="str">
        <f>IFERROR(IF(#REF!="","",INDEX('3 Capital stack'!$E$5:$E$25,MATCH(A24,'3 Capital stack'!$A$5:$A$25,0))/L24),"")</f>
        <v/>
      </c>
      <c r="N24" s="14"/>
      <c r="O24" s="14"/>
      <c r="P24" s="10"/>
      <c r="Q24" s="8"/>
    </row>
    <row r="25" spans="1:17" ht="15" customHeight="1" x14ac:dyDescent="0.25">
      <c r="A25" s="8"/>
      <c r="B25" s="8"/>
      <c r="C25" s="8"/>
      <c r="D25" s="14"/>
      <c r="E25" s="14"/>
      <c r="F25" s="14"/>
      <c r="G25" s="14"/>
      <c r="H25" s="14"/>
      <c r="I25" s="14"/>
      <c r="J25" s="14"/>
      <c r="K25" s="14"/>
      <c r="L25" s="15"/>
      <c r="M25" s="16" t="str">
        <f>IFERROR(IF(#REF!="","",INDEX('3 Capital stack'!$E$5:$E$25,MATCH(A25,'3 Capital stack'!$A$5:$A$25,0))/L25),"")</f>
        <v/>
      </c>
      <c r="N25" s="14"/>
      <c r="O25" s="14"/>
      <c r="P25" s="10"/>
      <c r="Q25" s="8"/>
    </row>
  </sheetData>
  <mergeCells count="1">
    <mergeCell ref="A2:Q2"/>
  </mergeCells>
  <pageMargins left="0.75" right="0.75" top="1" bottom="1"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BE4915"/>
  </sheetPr>
  <dimension ref="A1:L25"/>
  <sheetViews>
    <sheetView zoomScaleNormal="100" workbookViewId="0">
      <pane xSplit="1" ySplit="4" topLeftCell="D5" activePane="bottomRight" state="frozen"/>
      <selection pane="topRight" activeCell="B1" sqref="B1"/>
      <selection pane="bottomLeft" activeCell="A5" sqref="A5"/>
      <selection pane="bottomRight" activeCell="O6" sqref="O6"/>
    </sheetView>
  </sheetViews>
  <sheetFormatPr defaultColWidth="8.7109375" defaultRowHeight="15" x14ac:dyDescent="0.25"/>
  <cols>
    <col min="1" max="2" width="12" customWidth="1"/>
    <col min="3" max="3" width="14" customWidth="1"/>
    <col min="4" max="4" width="18" customWidth="1"/>
    <col min="5" max="5" width="14" customWidth="1"/>
    <col min="6" max="6" width="13" customWidth="1"/>
    <col min="7" max="10" width="15" customWidth="1"/>
    <col min="11" max="11" width="16" customWidth="1"/>
    <col min="12" max="12" width="14" customWidth="1"/>
  </cols>
  <sheetData>
    <row r="1" spans="1:12" ht="19.5" customHeight="1" x14ac:dyDescent="0.3">
      <c r="A1" s="2" t="s">
        <v>109</v>
      </c>
    </row>
    <row r="2" spans="1:12" ht="31.5" customHeight="1" x14ac:dyDescent="0.25">
      <c r="A2" s="23" t="s">
        <v>110</v>
      </c>
      <c r="B2" s="23"/>
      <c r="C2" s="23"/>
      <c r="D2" s="23"/>
      <c r="E2" s="23"/>
      <c r="F2" s="23"/>
      <c r="G2" s="23"/>
      <c r="H2" s="23"/>
      <c r="I2" s="23"/>
      <c r="J2" s="23"/>
      <c r="K2" s="23"/>
      <c r="L2" s="23"/>
    </row>
    <row r="4" spans="1:12" ht="42" customHeight="1" x14ac:dyDescent="0.25">
      <c r="A4" s="6" t="s">
        <v>28</v>
      </c>
      <c r="B4" s="6" t="s">
        <v>111</v>
      </c>
      <c r="C4" s="6" t="s">
        <v>112</v>
      </c>
      <c r="D4" s="6" t="s">
        <v>113</v>
      </c>
      <c r="E4" s="6" t="s">
        <v>114</v>
      </c>
      <c r="F4" s="6" t="s">
        <v>115</v>
      </c>
      <c r="G4" s="6" t="s">
        <v>116</v>
      </c>
      <c r="H4" s="6" t="s">
        <v>117</v>
      </c>
      <c r="I4" s="6" t="s">
        <v>118</v>
      </c>
      <c r="J4" s="6" t="s">
        <v>119</v>
      </c>
      <c r="K4" s="6" t="s">
        <v>120</v>
      </c>
      <c r="L4" s="6" t="s">
        <v>121</v>
      </c>
    </row>
    <row r="5" spans="1:12" ht="15" customHeight="1" x14ac:dyDescent="0.25">
      <c r="A5" s="7" t="s">
        <v>40</v>
      </c>
      <c r="B5" s="9">
        <v>15000</v>
      </c>
      <c r="C5" s="12">
        <v>5000</v>
      </c>
      <c r="D5" s="9">
        <f>IFERROR(IF(B5="","",INDEX('2 Property'!$H$5:$H$25,MATCH(A5,'2 Property'!$A$5:$A$25,0))*365*(C5/10000)*B5),"")</f>
        <v>32850000</v>
      </c>
      <c r="E5" s="12">
        <v>3500</v>
      </c>
      <c r="F5" s="12">
        <v>1500</v>
      </c>
      <c r="G5" s="12">
        <v>250</v>
      </c>
      <c r="H5" s="12">
        <v>250</v>
      </c>
      <c r="I5" s="12">
        <v>2308</v>
      </c>
      <c r="J5" s="12">
        <f t="shared" ref="J5:J25" si="0">IF(B5="","",10000-E5-F5-G5-H5-I5)</f>
        <v>2192</v>
      </c>
      <c r="K5" s="9">
        <v>3960000</v>
      </c>
      <c r="L5" s="7" t="s">
        <v>122</v>
      </c>
    </row>
    <row r="6" spans="1:12" ht="15" customHeight="1" x14ac:dyDescent="0.25">
      <c r="A6" s="7" t="s">
        <v>50</v>
      </c>
      <c r="B6" s="9">
        <v>12000</v>
      </c>
      <c r="C6" s="14">
        <v>5000</v>
      </c>
      <c r="D6" s="11">
        <f>IFERROR(IF(B6="","",INDEX('2 Property'!$H$5:$H$25,MATCH(A6,'2 Property'!$A$5:$A$25,0))*365*(C6/10000)*B6),"")</f>
        <v>13140000</v>
      </c>
      <c r="E6" s="14">
        <v>4000</v>
      </c>
      <c r="F6" s="12">
        <v>1500</v>
      </c>
      <c r="G6" s="12">
        <v>250</v>
      </c>
      <c r="H6" s="12">
        <v>250</v>
      </c>
      <c r="I6" s="12">
        <v>2308</v>
      </c>
      <c r="J6" s="12">
        <f t="shared" ref="J6" si="1">IF(B6="","",10000-E6-F6-G6-H6-I6)</f>
        <v>1692</v>
      </c>
      <c r="K6" s="10"/>
      <c r="L6" s="8"/>
    </row>
    <row r="7" spans="1:12" ht="15" customHeight="1" x14ac:dyDescent="0.25">
      <c r="A7" s="7" t="s">
        <v>53</v>
      </c>
      <c r="B7" s="9">
        <v>12000</v>
      </c>
      <c r="C7" s="12">
        <v>5500</v>
      </c>
      <c r="D7" s="11">
        <f>IFERROR(IF(B7="","",INDEX('2 Property'!$H$5:$H$25,MATCH(A7,'2 Property'!$A$5:$A$25,0))*365*(C7/10000)*B7),"")</f>
        <v>48180000.000000007</v>
      </c>
      <c r="E7" s="14">
        <v>4000</v>
      </c>
      <c r="F7" s="12">
        <v>1500</v>
      </c>
      <c r="G7" s="12">
        <v>250</v>
      </c>
      <c r="H7" s="12">
        <v>250</v>
      </c>
      <c r="I7" s="12">
        <v>1500</v>
      </c>
      <c r="J7" s="15">
        <f t="shared" si="0"/>
        <v>2500</v>
      </c>
      <c r="K7" s="9">
        <v>8700000</v>
      </c>
      <c r="L7" s="7" t="s">
        <v>123</v>
      </c>
    </row>
    <row r="8" spans="1:12" ht="15" customHeight="1" x14ac:dyDescent="0.25">
      <c r="A8" s="8"/>
      <c r="B8" s="10"/>
      <c r="C8" s="14"/>
      <c r="D8" s="11" t="str">
        <f>IFERROR(IF(B8="","",INDEX('2 Property'!$H$5:$H$25,MATCH(A8,'2 Property'!$A$5:$A$25,0))*365*(C8/10000)*B8),"")</f>
        <v/>
      </c>
      <c r="E8" s="14"/>
      <c r="F8" s="14"/>
      <c r="G8" s="14"/>
      <c r="H8" s="14"/>
      <c r="I8" s="14"/>
      <c r="J8" s="15" t="str">
        <f t="shared" si="0"/>
        <v/>
      </c>
      <c r="K8" s="10"/>
      <c r="L8" s="8"/>
    </row>
    <row r="9" spans="1:12" ht="15" customHeight="1" x14ac:dyDescent="0.25">
      <c r="A9" s="8"/>
      <c r="B9" s="10"/>
      <c r="C9" s="14"/>
      <c r="D9" s="11" t="str">
        <f>IFERROR(IF(B9="","",INDEX('2 Property'!$H$5:$H$25,MATCH(A9,'2 Property'!$A$5:$A$25,0))*365*(C9/10000)*B9),"")</f>
        <v/>
      </c>
      <c r="E9" s="14"/>
      <c r="F9" s="14"/>
      <c r="G9" s="14"/>
      <c r="H9" s="14"/>
      <c r="I9" s="14"/>
      <c r="J9" s="15" t="str">
        <f t="shared" si="0"/>
        <v/>
      </c>
      <c r="K9" s="10"/>
      <c r="L9" s="8"/>
    </row>
    <row r="10" spans="1:12" ht="15" customHeight="1" x14ac:dyDescent="0.25">
      <c r="A10" s="8"/>
      <c r="B10" s="10"/>
      <c r="C10" s="14"/>
      <c r="D10" s="11" t="str">
        <f>IFERROR(IF(B10="","",INDEX('2 Property'!$H$5:$H$25,MATCH(A10,'2 Property'!$A$5:$A$25,0))*365*(C10/10000)*B10),"")</f>
        <v/>
      </c>
      <c r="E10" s="14"/>
      <c r="F10" s="14"/>
      <c r="G10" s="14"/>
      <c r="H10" s="14"/>
      <c r="I10" s="14"/>
      <c r="J10" s="15" t="str">
        <f t="shared" si="0"/>
        <v/>
      </c>
      <c r="K10" s="10"/>
      <c r="L10" s="8"/>
    </row>
    <row r="11" spans="1:12" ht="15" customHeight="1" x14ac:dyDescent="0.25">
      <c r="A11" s="8"/>
      <c r="B11" s="10"/>
      <c r="C11" s="14"/>
      <c r="D11" s="11" t="str">
        <f>IFERROR(IF(B11="","",INDEX('2 Property'!$H$5:$H$25,MATCH(A11,'2 Property'!$A$5:$A$25,0))*365*(C11/10000)*B11),"")</f>
        <v/>
      </c>
      <c r="E11" s="14"/>
      <c r="F11" s="14"/>
      <c r="G11" s="14"/>
      <c r="H11" s="14"/>
      <c r="I11" s="14"/>
      <c r="J11" s="15" t="str">
        <f t="shared" si="0"/>
        <v/>
      </c>
      <c r="K11" s="10"/>
      <c r="L11" s="8"/>
    </row>
    <row r="12" spans="1:12" ht="15" customHeight="1" x14ac:dyDescent="0.25">
      <c r="A12" s="8"/>
      <c r="B12" s="10"/>
      <c r="C12" s="14"/>
      <c r="D12" s="11" t="str">
        <f>IFERROR(IF(B12="","",INDEX('2 Property'!$H$5:$H$25,MATCH(A12,'2 Property'!$A$5:$A$25,0))*365*(C12/10000)*B12),"")</f>
        <v/>
      </c>
      <c r="E12" s="14"/>
      <c r="F12" s="14"/>
      <c r="G12" s="14"/>
      <c r="H12" s="14"/>
      <c r="I12" s="14"/>
      <c r="J12" s="15" t="str">
        <f t="shared" si="0"/>
        <v/>
      </c>
      <c r="K12" s="10"/>
      <c r="L12" s="8"/>
    </row>
    <row r="13" spans="1:12" ht="15" customHeight="1" x14ac:dyDescent="0.25">
      <c r="A13" s="8"/>
      <c r="B13" s="10"/>
      <c r="C13" s="14"/>
      <c r="D13" s="11" t="str">
        <f>IFERROR(IF(B13="","",INDEX('2 Property'!$H$5:$H$25,MATCH(A13,'2 Property'!$A$5:$A$25,0))*365*(C13/10000)*B13),"")</f>
        <v/>
      </c>
      <c r="E13" s="14"/>
      <c r="F13" s="14"/>
      <c r="G13" s="14"/>
      <c r="H13" s="14"/>
      <c r="I13" s="14"/>
      <c r="J13" s="15" t="str">
        <f t="shared" si="0"/>
        <v/>
      </c>
      <c r="K13" s="10"/>
      <c r="L13" s="8"/>
    </row>
    <row r="14" spans="1:12" ht="15" customHeight="1" x14ac:dyDescent="0.25">
      <c r="A14" s="8"/>
      <c r="B14" s="10"/>
      <c r="C14" s="14"/>
      <c r="D14" s="11" t="str">
        <f>IFERROR(IF(B14="","",INDEX('2 Property'!$H$5:$H$25,MATCH(A14,'2 Property'!$A$5:$A$25,0))*365*(C14/10000)*B14),"")</f>
        <v/>
      </c>
      <c r="E14" s="14"/>
      <c r="F14" s="14"/>
      <c r="G14" s="14"/>
      <c r="H14" s="14"/>
      <c r="I14" s="14"/>
      <c r="J14" s="15" t="str">
        <f t="shared" si="0"/>
        <v/>
      </c>
      <c r="K14" s="10"/>
      <c r="L14" s="8"/>
    </row>
    <row r="15" spans="1:12" ht="15" customHeight="1" x14ac:dyDescent="0.25">
      <c r="A15" s="8"/>
      <c r="B15" s="10"/>
      <c r="C15" s="14"/>
      <c r="D15" s="11" t="str">
        <f>IFERROR(IF(B15="","",INDEX('2 Property'!$H$5:$H$25,MATCH(A15,'2 Property'!$A$5:$A$25,0))*365*(C15/10000)*B15),"")</f>
        <v/>
      </c>
      <c r="E15" s="14"/>
      <c r="F15" s="14"/>
      <c r="G15" s="14"/>
      <c r="H15" s="14"/>
      <c r="I15" s="14"/>
      <c r="J15" s="15" t="str">
        <f t="shared" si="0"/>
        <v/>
      </c>
      <c r="K15" s="10"/>
      <c r="L15" s="8"/>
    </row>
    <row r="16" spans="1:12" ht="15" customHeight="1" x14ac:dyDescent="0.25">
      <c r="A16" s="8"/>
      <c r="B16" s="10"/>
      <c r="C16" s="14"/>
      <c r="D16" s="11" t="str">
        <f>IFERROR(IF(B16="","",INDEX('2 Property'!$H$5:$H$25,MATCH(A16,'2 Property'!$A$5:$A$25,0))*365*(C16/10000)*B16),"")</f>
        <v/>
      </c>
      <c r="E16" s="14"/>
      <c r="F16" s="14"/>
      <c r="G16" s="14"/>
      <c r="H16" s="14"/>
      <c r="I16" s="14"/>
      <c r="J16" s="15" t="str">
        <f t="shared" si="0"/>
        <v/>
      </c>
      <c r="K16" s="10"/>
      <c r="L16" s="8"/>
    </row>
    <row r="17" spans="1:12" ht="15" customHeight="1" x14ac:dyDescent="0.25">
      <c r="A17" s="8"/>
      <c r="B17" s="10"/>
      <c r="C17" s="14"/>
      <c r="D17" s="11" t="str">
        <f>IFERROR(IF(B17="","",INDEX('2 Property'!$H$5:$H$25,MATCH(A17,'2 Property'!$A$5:$A$25,0))*365*(C17/10000)*B17),"")</f>
        <v/>
      </c>
      <c r="E17" s="14"/>
      <c r="F17" s="14"/>
      <c r="G17" s="14"/>
      <c r="H17" s="14"/>
      <c r="I17" s="14"/>
      <c r="J17" s="15" t="str">
        <f t="shared" si="0"/>
        <v/>
      </c>
      <c r="K17" s="10"/>
      <c r="L17" s="8"/>
    </row>
    <row r="18" spans="1:12" ht="15" customHeight="1" x14ac:dyDescent="0.25">
      <c r="A18" s="8"/>
      <c r="B18" s="10"/>
      <c r="C18" s="14"/>
      <c r="D18" s="11" t="str">
        <f>IFERROR(IF(B18="","",INDEX('2 Property'!$H$5:$H$25,MATCH(A18,'2 Property'!$A$5:$A$25,0))*365*(C18/10000)*B18),"")</f>
        <v/>
      </c>
      <c r="E18" s="14"/>
      <c r="F18" s="14"/>
      <c r="G18" s="14"/>
      <c r="H18" s="14"/>
      <c r="I18" s="14"/>
      <c r="J18" s="15" t="str">
        <f t="shared" si="0"/>
        <v/>
      </c>
      <c r="K18" s="10"/>
      <c r="L18" s="8"/>
    </row>
    <row r="19" spans="1:12" ht="15" customHeight="1" x14ac:dyDescent="0.25">
      <c r="A19" s="8"/>
      <c r="B19" s="10"/>
      <c r="C19" s="14"/>
      <c r="D19" s="11" t="str">
        <f>IFERROR(IF(B19="","",INDEX('2 Property'!$H$5:$H$25,MATCH(A19,'2 Property'!$A$5:$A$25,0))*365*(C19/10000)*B19),"")</f>
        <v/>
      </c>
      <c r="E19" s="14"/>
      <c r="F19" s="14"/>
      <c r="G19" s="14"/>
      <c r="H19" s="14"/>
      <c r="I19" s="14"/>
      <c r="J19" s="15" t="str">
        <f t="shared" si="0"/>
        <v/>
      </c>
      <c r="K19" s="10"/>
      <c r="L19" s="8"/>
    </row>
    <row r="20" spans="1:12" ht="15" customHeight="1" x14ac:dyDescent="0.25">
      <c r="A20" s="8"/>
      <c r="B20" s="10"/>
      <c r="C20" s="14"/>
      <c r="D20" s="11" t="str">
        <f>IFERROR(IF(B20="","",INDEX('2 Property'!$H$5:$H$25,MATCH(A20,'2 Property'!$A$5:$A$25,0))*365*(C20/10000)*B20),"")</f>
        <v/>
      </c>
      <c r="E20" s="14"/>
      <c r="F20" s="14"/>
      <c r="G20" s="14"/>
      <c r="H20" s="14"/>
      <c r="I20" s="14"/>
      <c r="J20" s="15" t="str">
        <f t="shared" si="0"/>
        <v/>
      </c>
      <c r="K20" s="10"/>
      <c r="L20" s="8"/>
    </row>
    <row r="21" spans="1:12" ht="15" customHeight="1" x14ac:dyDescent="0.25">
      <c r="A21" s="8"/>
      <c r="B21" s="10"/>
      <c r="C21" s="14"/>
      <c r="D21" s="11" t="str">
        <f>IFERROR(IF(B21="","",INDEX('2 Property'!$H$5:$H$25,MATCH(A21,'2 Property'!$A$5:$A$25,0))*365*(C21/10000)*B21),"")</f>
        <v/>
      </c>
      <c r="E21" s="14"/>
      <c r="F21" s="14"/>
      <c r="G21" s="14"/>
      <c r="H21" s="14"/>
      <c r="I21" s="14"/>
      <c r="J21" s="15" t="str">
        <f t="shared" si="0"/>
        <v/>
      </c>
      <c r="K21" s="10"/>
      <c r="L21" s="8"/>
    </row>
    <row r="22" spans="1:12" ht="15" customHeight="1" x14ac:dyDescent="0.25">
      <c r="A22" s="8"/>
      <c r="B22" s="10"/>
      <c r="C22" s="14"/>
      <c r="D22" s="11" t="str">
        <f>IFERROR(IF(B22="","",INDEX('2 Property'!$H$5:$H$25,MATCH(A22,'2 Property'!$A$5:$A$25,0))*365*(C22/10000)*B22),"")</f>
        <v/>
      </c>
      <c r="E22" s="14"/>
      <c r="F22" s="14"/>
      <c r="G22" s="14"/>
      <c r="H22" s="14"/>
      <c r="I22" s="14"/>
      <c r="J22" s="15" t="str">
        <f t="shared" si="0"/>
        <v/>
      </c>
      <c r="K22" s="10"/>
      <c r="L22" s="8"/>
    </row>
    <row r="23" spans="1:12" ht="15" customHeight="1" x14ac:dyDescent="0.25">
      <c r="A23" s="8"/>
      <c r="B23" s="10"/>
      <c r="C23" s="14"/>
      <c r="D23" s="11" t="str">
        <f>IFERROR(IF(B23="","",INDEX('2 Property'!$H$5:$H$25,MATCH(A23,'2 Property'!$A$5:$A$25,0))*365*(C23/10000)*B23),"")</f>
        <v/>
      </c>
      <c r="E23" s="14"/>
      <c r="F23" s="14"/>
      <c r="G23" s="14"/>
      <c r="H23" s="14"/>
      <c r="I23" s="14"/>
      <c r="J23" s="15" t="str">
        <f t="shared" si="0"/>
        <v/>
      </c>
      <c r="K23" s="10"/>
      <c r="L23" s="8"/>
    </row>
    <row r="24" spans="1:12" ht="15" customHeight="1" x14ac:dyDescent="0.25">
      <c r="A24" s="8"/>
      <c r="B24" s="10"/>
      <c r="C24" s="14"/>
      <c r="D24" s="11" t="str">
        <f>IFERROR(IF(B24="","",INDEX('2 Property'!$H$5:$H$25,MATCH(A24,'2 Property'!$A$5:$A$25,0))*365*(C24/10000)*B24),"")</f>
        <v/>
      </c>
      <c r="E24" s="14"/>
      <c r="F24" s="14"/>
      <c r="G24" s="14"/>
      <c r="H24" s="14"/>
      <c r="I24" s="14"/>
      <c r="J24" s="15" t="str">
        <f t="shared" si="0"/>
        <v/>
      </c>
      <c r="K24" s="10"/>
      <c r="L24" s="8"/>
    </row>
    <row r="25" spans="1:12" ht="15" customHeight="1" x14ac:dyDescent="0.25">
      <c r="A25" s="8"/>
      <c r="B25" s="10"/>
      <c r="C25" s="14"/>
      <c r="D25" s="11" t="str">
        <f>IFERROR(IF(B25="","",INDEX('2 Property'!$H$5:$H$25,MATCH(A25,'2 Property'!$A$5:$A$25,0))*365*(C25/10000)*B25),"")</f>
        <v/>
      </c>
      <c r="E25" s="14"/>
      <c r="F25" s="14"/>
      <c r="G25" s="14"/>
      <c r="H25" s="14"/>
      <c r="I25" s="14"/>
      <c r="J25" s="15" t="str">
        <f t="shared" si="0"/>
        <v/>
      </c>
      <c r="K25" s="10"/>
      <c r="L25" s="8"/>
    </row>
  </sheetData>
  <mergeCells count="1">
    <mergeCell ref="A2:L2"/>
  </mergeCells>
  <dataValidations count="1">
    <dataValidation type="list" allowBlank="1" errorTitle="Closed value set" error="Not one of the permitted values. The application enforces this enum." sqref="L5:L25" xr:uid="{00000000-0002-0000-0500-000000000000}">
      <formula1>"observed,verified,modelled,estimated,forecast,pending"</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77F43"/>
  </sheetPr>
  <dimension ref="A1:H25"/>
  <sheetViews>
    <sheetView zoomScaleNormal="100" workbookViewId="0">
      <pane xSplit="1" ySplit="4" topLeftCell="B5" activePane="bottomRight" state="frozen"/>
      <selection pane="topRight" activeCell="B1" sqref="B1"/>
      <selection pane="bottomLeft" activeCell="A5" sqref="A5"/>
      <selection pane="bottomRight" activeCell="A5" sqref="A5"/>
    </sheetView>
  </sheetViews>
  <sheetFormatPr defaultColWidth="8.7109375" defaultRowHeight="15" x14ac:dyDescent="0.25"/>
  <cols>
    <col min="1" max="1" width="12" customWidth="1"/>
    <col min="2" max="5" width="14" customWidth="1"/>
    <col min="6" max="6" width="32" customWidth="1"/>
    <col min="7" max="7" width="16" customWidth="1"/>
    <col min="8" max="8" width="26" customWidth="1"/>
  </cols>
  <sheetData>
    <row r="1" spans="1:8" ht="19.5" customHeight="1" x14ac:dyDescent="0.3">
      <c r="A1" s="2" t="s">
        <v>124</v>
      </c>
    </row>
    <row r="2" spans="1:8" ht="31.5" customHeight="1" x14ac:dyDescent="0.25">
      <c r="A2" s="23" t="s">
        <v>125</v>
      </c>
      <c r="B2" s="23"/>
      <c r="C2" s="23"/>
      <c r="D2" s="23"/>
      <c r="E2" s="23"/>
      <c r="F2" s="23"/>
      <c r="G2" s="23"/>
      <c r="H2" s="23"/>
    </row>
    <row r="4" spans="1:8" ht="42" customHeight="1" x14ac:dyDescent="0.25">
      <c r="A4" s="6" t="s">
        <v>28</v>
      </c>
      <c r="B4" s="6" t="s">
        <v>126</v>
      </c>
      <c r="C4" s="6" t="s">
        <v>127</v>
      </c>
      <c r="D4" s="6" t="s">
        <v>128</v>
      </c>
      <c r="E4" s="6" t="s">
        <v>129</v>
      </c>
      <c r="F4" s="6" t="s">
        <v>130</v>
      </c>
      <c r="G4" s="6" t="s">
        <v>131</v>
      </c>
      <c r="H4" s="6" t="s">
        <v>132</v>
      </c>
    </row>
    <row r="5" spans="1:8" ht="15" customHeight="1" x14ac:dyDescent="0.25">
      <c r="A5" s="7" t="s">
        <v>40</v>
      </c>
      <c r="B5" s="12">
        <v>180</v>
      </c>
      <c r="C5" s="12">
        <v>210</v>
      </c>
      <c r="D5" s="12" t="str">
        <f>IFERROR(IF(B5="","",FLOOR(B5*INDEX('4 Units &amp; ladder'!#REF!,MATCH(A5,'4 Units &amp; ladder'!$A$5:$A$25,0))/10000,1)),"")</f>
        <v/>
      </c>
      <c r="E5" s="12">
        <v>0</v>
      </c>
      <c r="F5" s="7"/>
      <c r="G5" s="7" t="s">
        <v>133</v>
      </c>
      <c r="H5" s="7"/>
    </row>
    <row r="6" spans="1:8" ht="15" customHeight="1" x14ac:dyDescent="0.25">
      <c r="A6" s="7" t="s">
        <v>50</v>
      </c>
      <c r="B6" s="12"/>
      <c r="C6" s="14"/>
      <c r="D6" s="15" t="str">
        <f>IFERROR(IF(B6="","",FLOOR(B6*INDEX('4 Units &amp; ladder'!#REF!,MATCH(A6,'4 Units &amp; ladder'!$A$5:$A$25,0))/10000,1)),"")</f>
        <v/>
      </c>
      <c r="E6" s="14"/>
      <c r="F6" s="8"/>
      <c r="G6" s="8"/>
      <c r="H6" s="8"/>
    </row>
    <row r="7" spans="1:8" ht="15" customHeight="1" x14ac:dyDescent="0.25">
      <c r="A7" s="7" t="s">
        <v>53</v>
      </c>
      <c r="B7" s="12">
        <v>300</v>
      </c>
      <c r="C7" s="12">
        <v>350</v>
      </c>
      <c r="D7" s="15" t="str">
        <f>IFERROR(IF(B7="","",FLOOR(B7*INDEX('4 Units &amp; ladder'!#REF!,MATCH(A7,'4 Units &amp; ladder'!$A$5:$A$25,0))/10000,1)),"")</f>
        <v/>
      </c>
      <c r="E7" s="12">
        <v>0</v>
      </c>
      <c r="F7" s="8"/>
      <c r="G7" s="7" t="s">
        <v>134</v>
      </c>
      <c r="H7" s="8"/>
    </row>
    <row r="8" spans="1:8" ht="15" customHeight="1" x14ac:dyDescent="0.25">
      <c r="A8" s="8"/>
      <c r="B8" s="14"/>
      <c r="C8" s="14"/>
      <c r="D8" s="15" t="str">
        <f>IFERROR(IF(B8="","",FLOOR(B8*INDEX('4 Units &amp; ladder'!#REF!,MATCH(A8,'4 Units &amp; ladder'!$A$5:$A$25,0))/10000,1)),"")</f>
        <v/>
      </c>
      <c r="E8" s="14"/>
      <c r="F8" s="8"/>
      <c r="G8" s="8"/>
      <c r="H8" s="8"/>
    </row>
    <row r="9" spans="1:8" ht="15" customHeight="1" x14ac:dyDescent="0.25">
      <c r="A9" s="8"/>
      <c r="B9" s="14"/>
      <c r="C9" s="14"/>
      <c r="D9" s="15" t="str">
        <f>IFERROR(IF(B9="","",FLOOR(B9*INDEX('4 Units &amp; ladder'!#REF!,MATCH(A9,'4 Units &amp; ladder'!$A$5:$A$25,0))/10000,1)),"")</f>
        <v/>
      </c>
      <c r="E9" s="14"/>
      <c r="F9" s="8"/>
      <c r="G9" s="8"/>
      <c r="H9" s="8"/>
    </row>
    <row r="10" spans="1:8" ht="15" customHeight="1" x14ac:dyDescent="0.25">
      <c r="A10" s="8"/>
      <c r="B10" s="14"/>
      <c r="C10" s="14"/>
      <c r="D10" s="15" t="str">
        <f>IFERROR(IF(B10="","",FLOOR(B10*INDEX('4 Units &amp; ladder'!#REF!,MATCH(A10,'4 Units &amp; ladder'!$A$5:$A$25,0))/10000,1)),"")</f>
        <v/>
      </c>
      <c r="E10" s="14"/>
      <c r="F10" s="8"/>
      <c r="G10" s="8"/>
      <c r="H10" s="8"/>
    </row>
    <row r="11" spans="1:8" ht="15" customHeight="1" x14ac:dyDescent="0.25">
      <c r="A11" s="8"/>
      <c r="B11" s="14"/>
      <c r="C11" s="14"/>
      <c r="D11" s="15" t="str">
        <f>IFERROR(IF(B11="","",FLOOR(B11*INDEX('4 Units &amp; ladder'!#REF!,MATCH(A11,'4 Units &amp; ladder'!$A$5:$A$25,0))/10000,1)),"")</f>
        <v/>
      </c>
      <c r="E11" s="14"/>
      <c r="F11" s="8"/>
      <c r="G11" s="8"/>
      <c r="H11" s="8"/>
    </row>
    <row r="12" spans="1:8" ht="15" customHeight="1" x14ac:dyDescent="0.25">
      <c r="A12" s="8"/>
      <c r="B12" s="14"/>
      <c r="C12" s="14"/>
      <c r="D12" s="15" t="str">
        <f>IFERROR(IF(B12="","",FLOOR(B12*INDEX('4 Units &amp; ladder'!#REF!,MATCH(A12,'4 Units &amp; ladder'!$A$5:$A$25,0))/10000,1)),"")</f>
        <v/>
      </c>
      <c r="E12" s="14"/>
      <c r="F12" s="8"/>
      <c r="G12" s="8"/>
      <c r="H12" s="8"/>
    </row>
    <row r="13" spans="1:8" ht="15" customHeight="1" x14ac:dyDescent="0.25">
      <c r="A13" s="8"/>
      <c r="B13" s="14"/>
      <c r="C13" s="14"/>
      <c r="D13" s="15" t="str">
        <f>IFERROR(IF(B13="","",FLOOR(B13*INDEX('4 Units &amp; ladder'!#REF!,MATCH(A13,'4 Units &amp; ladder'!$A$5:$A$25,0))/10000,1)),"")</f>
        <v/>
      </c>
      <c r="E13" s="14"/>
      <c r="F13" s="8"/>
      <c r="G13" s="8"/>
      <c r="H13" s="8"/>
    </row>
    <row r="14" spans="1:8" ht="15" customHeight="1" x14ac:dyDescent="0.25">
      <c r="A14" s="8"/>
      <c r="B14" s="14"/>
      <c r="C14" s="14"/>
      <c r="D14" s="15" t="str">
        <f>IFERROR(IF(B14="","",FLOOR(B14*INDEX('4 Units &amp; ladder'!#REF!,MATCH(A14,'4 Units &amp; ladder'!$A$5:$A$25,0))/10000,1)),"")</f>
        <v/>
      </c>
      <c r="E14" s="14"/>
      <c r="F14" s="8"/>
      <c r="G14" s="8"/>
      <c r="H14" s="8"/>
    </row>
    <row r="15" spans="1:8" ht="15" customHeight="1" x14ac:dyDescent="0.25">
      <c r="A15" s="8"/>
      <c r="B15" s="14"/>
      <c r="C15" s="14"/>
      <c r="D15" s="15" t="str">
        <f>IFERROR(IF(B15="","",FLOOR(B15*INDEX('4 Units &amp; ladder'!#REF!,MATCH(A15,'4 Units &amp; ladder'!$A$5:$A$25,0))/10000,1)),"")</f>
        <v/>
      </c>
      <c r="E15" s="14"/>
      <c r="F15" s="8"/>
      <c r="G15" s="8"/>
      <c r="H15" s="8"/>
    </row>
    <row r="16" spans="1:8" ht="15" customHeight="1" x14ac:dyDescent="0.25">
      <c r="A16" s="8"/>
      <c r="B16" s="14"/>
      <c r="C16" s="14"/>
      <c r="D16" s="15" t="str">
        <f>IFERROR(IF(B16="","",FLOOR(B16*INDEX('4 Units &amp; ladder'!#REF!,MATCH(A16,'4 Units &amp; ladder'!$A$5:$A$25,0))/10000,1)),"")</f>
        <v/>
      </c>
      <c r="E16" s="14"/>
      <c r="F16" s="8"/>
      <c r="G16" s="8"/>
      <c r="H16" s="8"/>
    </row>
    <row r="17" spans="1:8" ht="15" customHeight="1" x14ac:dyDescent="0.25">
      <c r="A17" s="8"/>
      <c r="B17" s="14"/>
      <c r="C17" s="14"/>
      <c r="D17" s="15" t="str">
        <f>IFERROR(IF(B17="","",FLOOR(B17*INDEX('4 Units &amp; ladder'!#REF!,MATCH(A17,'4 Units &amp; ladder'!$A$5:$A$25,0))/10000,1)),"")</f>
        <v/>
      </c>
      <c r="E17" s="14"/>
      <c r="F17" s="8"/>
      <c r="G17" s="8"/>
      <c r="H17" s="8"/>
    </row>
    <row r="18" spans="1:8" ht="15" customHeight="1" x14ac:dyDescent="0.25">
      <c r="A18" s="8"/>
      <c r="B18" s="14"/>
      <c r="C18" s="14"/>
      <c r="D18" s="15" t="str">
        <f>IFERROR(IF(B18="","",FLOOR(B18*INDEX('4 Units &amp; ladder'!#REF!,MATCH(A18,'4 Units &amp; ladder'!$A$5:$A$25,0))/10000,1)),"")</f>
        <v/>
      </c>
      <c r="E18" s="14"/>
      <c r="F18" s="8"/>
      <c r="G18" s="8"/>
      <c r="H18" s="8"/>
    </row>
    <row r="19" spans="1:8" ht="15" customHeight="1" x14ac:dyDescent="0.25">
      <c r="A19" s="8"/>
      <c r="B19" s="14"/>
      <c r="C19" s="14"/>
      <c r="D19" s="15" t="str">
        <f>IFERROR(IF(B19="","",FLOOR(B19*INDEX('4 Units &amp; ladder'!#REF!,MATCH(A19,'4 Units &amp; ladder'!$A$5:$A$25,0))/10000,1)),"")</f>
        <v/>
      </c>
      <c r="E19" s="14"/>
      <c r="F19" s="8"/>
      <c r="G19" s="8"/>
      <c r="H19" s="8"/>
    </row>
    <row r="20" spans="1:8" ht="15" customHeight="1" x14ac:dyDescent="0.25">
      <c r="A20" s="8"/>
      <c r="B20" s="14"/>
      <c r="C20" s="14"/>
      <c r="D20" s="15" t="str">
        <f>IFERROR(IF(B20="","",FLOOR(B20*INDEX('4 Units &amp; ladder'!#REF!,MATCH(A20,'4 Units &amp; ladder'!$A$5:$A$25,0))/10000,1)),"")</f>
        <v/>
      </c>
      <c r="E20" s="14"/>
      <c r="F20" s="8"/>
      <c r="G20" s="8"/>
      <c r="H20" s="8"/>
    </row>
    <row r="21" spans="1:8" ht="15" customHeight="1" x14ac:dyDescent="0.25">
      <c r="A21" s="8"/>
      <c r="B21" s="14"/>
      <c r="C21" s="14"/>
      <c r="D21" s="15" t="str">
        <f>IFERROR(IF(B21="","",FLOOR(B21*INDEX('4 Units &amp; ladder'!#REF!,MATCH(A21,'4 Units &amp; ladder'!$A$5:$A$25,0))/10000,1)),"")</f>
        <v/>
      </c>
      <c r="E21" s="14"/>
      <c r="F21" s="8"/>
      <c r="G21" s="8"/>
      <c r="H21" s="8"/>
    </row>
    <row r="22" spans="1:8" ht="15" customHeight="1" x14ac:dyDescent="0.25">
      <c r="A22" s="8"/>
      <c r="B22" s="14"/>
      <c r="C22" s="14"/>
      <c r="D22" s="15" t="str">
        <f>IFERROR(IF(B22="","",FLOOR(B22*INDEX('4 Units &amp; ladder'!#REF!,MATCH(A22,'4 Units &amp; ladder'!$A$5:$A$25,0))/10000,1)),"")</f>
        <v/>
      </c>
      <c r="E22" s="14"/>
      <c r="F22" s="8"/>
      <c r="G22" s="8"/>
      <c r="H22" s="8"/>
    </row>
    <row r="23" spans="1:8" ht="15" customHeight="1" x14ac:dyDescent="0.25">
      <c r="A23" s="8"/>
      <c r="B23" s="14"/>
      <c r="C23" s="14"/>
      <c r="D23" s="15" t="str">
        <f>IFERROR(IF(B23="","",FLOOR(B23*INDEX('4 Units &amp; ladder'!#REF!,MATCH(A23,'4 Units &amp; ladder'!$A$5:$A$25,0))/10000,1)),"")</f>
        <v/>
      </c>
      <c r="E23" s="14"/>
      <c r="F23" s="8"/>
      <c r="G23" s="8"/>
      <c r="H23" s="8"/>
    </row>
    <row r="24" spans="1:8" ht="15" customHeight="1" x14ac:dyDescent="0.25">
      <c r="A24" s="8"/>
      <c r="B24" s="14"/>
      <c r="C24" s="14"/>
      <c r="D24" s="15" t="str">
        <f>IFERROR(IF(B24="","",FLOOR(B24*INDEX('4 Units &amp; ladder'!#REF!,MATCH(A24,'4 Units &amp; ladder'!$A$5:$A$25,0))/10000,1)),"")</f>
        <v/>
      </c>
      <c r="E24" s="14"/>
      <c r="F24" s="8"/>
      <c r="G24" s="8"/>
      <c r="H24" s="8"/>
    </row>
    <row r="25" spans="1:8" ht="15" customHeight="1" x14ac:dyDescent="0.25">
      <c r="A25" s="8"/>
      <c r="B25" s="14"/>
      <c r="C25" s="14"/>
      <c r="D25" s="15" t="str">
        <f>IFERROR(IF(B25="","",FLOOR(B25*INDEX('4 Units &amp; ladder'!#REF!,MATCH(A25,'4 Units &amp; ladder'!$A$5:$A$25,0))/10000,1)),"")</f>
        <v/>
      </c>
      <c r="E25" s="14"/>
      <c r="F25" s="8"/>
      <c r="G25" s="8"/>
      <c r="H25" s="8"/>
    </row>
  </sheetData>
  <mergeCells count="1">
    <mergeCell ref="A2:H2"/>
  </mergeCells>
  <dataValidations count="1">
    <dataValidation type="list" allowBlank="1" errorTitle="Closed value set" error="Not one of the permitted values. The application enforces this enum." sqref="H5:H25" xr:uid="{00000000-0002-0000-0600-000000000000}">
      <formula1>"lapse,roll_over,convert,undecided"</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A9A9A"/>
  </sheetPr>
  <dimension ref="A1:G25"/>
  <sheetViews>
    <sheetView zoomScaleNormal="100" workbookViewId="0">
      <pane xSplit="1" ySplit="4" topLeftCell="B5" activePane="bottomRight" state="frozen"/>
      <selection pane="topRight" activeCell="B1" sqref="B1"/>
      <selection pane="bottomLeft" activeCell="A5" sqref="A5"/>
      <selection pane="bottomRight"/>
    </sheetView>
  </sheetViews>
  <sheetFormatPr defaultColWidth="8.7109375" defaultRowHeight="15" x14ac:dyDescent="0.25"/>
  <cols>
    <col min="1" max="1" width="12" customWidth="1"/>
    <col min="2" max="2" width="14" customWidth="1"/>
    <col min="3" max="4" width="13" customWidth="1"/>
    <col min="5" max="5" width="40" customWidth="1"/>
    <col min="6" max="6" width="34" customWidth="1"/>
    <col min="7" max="7" width="30" customWidth="1"/>
  </cols>
  <sheetData>
    <row r="1" spans="1:7" ht="19.5" customHeight="1" x14ac:dyDescent="0.3">
      <c r="A1" s="2" t="s">
        <v>135</v>
      </c>
    </row>
    <row r="2" spans="1:7" ht="31.5" customHeight="1" x14ac:dyDescent="0.25">
      <c r="A2" s="23" t="s">
        <v>136</v>
      </c>
      <c r="B2" s="23"/>
      <c r="C2" s="23"/>
      <c r="D2" s="23"/>
      <c r="E2" s="23"/>
      <c r="F2" s="23"/>
      <c r="G2" s="23"/>
    </row>
    <row r="4" spans="1:7" ht="42" customHeight="1" x14ac:dyDescent="0.25">
      <c r="A4" s="6" t="s">
        <v>28</v>
      </c>
      <c r="B4" s="6" t="s">
        <v>137</v>
      </c>
      <c r="C4" s="6" t="s">
        <v>138</v>
      </c>
      <c r="D4" s="6" t="s">
        <v>139</v>
      </c>
      <c r="E4" s="6" t="s">
        <v>140</v>
      </c>
      <c r="F4" s="6" t="s">
        <v>141</v>
      </c>
      <c r="G4" s="6" t="s">
        <v>142</v>
      </c>
    </row>
    <row r="5" spans="1:7" ht="15" customHeight="1" x14ac:dyDescent="0.25">
      <c r="A5" s="7" t="s">
        <v>40</v>
      </c>
      <c r="B5" s="12">
        <v>5001</v>
      </c>
      <c r="C5" s="12">
        <v>7600</v>
      </c>
      <c r="D5" s="12">
        <v>6000</v>
      </c>
      <c r="E5" s="7" t="s">
        <v>143</v>
      </c>
      <c r="F5" s="7" t="s">
        <v>144</v>
      </c>
      <c r="G5" s="7" t="s">
        <v>145</v>
      </c>
    </row>
    <row r="6" spans="1:7" ht="15" customHeight="1" x14ac:dyDescent="0.25">
      <c r="A6" s="7" t="s">
        <v>50</v>
      </c>
      <c r="B6" s="12"/>
      <c r="C6" s="14"/>
      <c r="D6" s="14"/>
      <c r="E6" s="8"/>
      <c r="F6" s="8"/>
      <c r="G6" s="8"/>
    </row>
    <row r="7" spans="1:7" ht="15" customHeight="1" x14ac:dyDescent="0.25">
      <c r="A7" s="7" t="s">
        <v>53</v>
      </c>
      <c r="B7" s="12">
        <v>5001</v>
      </c>
      <c r="C7" s="12">
        <v>7600</v>
      </c>
      <c r="D7" s="12">
        <v>6000</v>
      </c>
      <c r="E7" s="7" t="s">
        <v>146</v>
      </c>
      <c r="F7" s="7" t="s">
        <v>144</v>
      </c>
      <c r="G7" s="7" t="s">
        <v>145</v>
      </c>
    </row>
    <row r="8" spans="1:7" ht="15" customHeight="1" x14ac:dyDescent="0.25">
      <c r="A8" s="8"/>
      <c r="B8" s="14"/>
      <c r="C8" s="14"/>
      <c r="D8" s="14"/>
      <c r="E8" s="8"/>
      <c r="F8" s="8"/>
      <c r="G8" s="8"/>
    </row>
    <row r="9" spans="1:7" ht="15" customHeight="1" x14ac:dyDescent="0.25">
      <c r="A9" s="8"/>
      <c r="B9" s="14"/>
      <c r="C9" s="14"/>
      <c r="D9" s="14"/>
      <c r="E9" s="8"/>
      <c r="F9" s="8"/>
      <c r="G9" s="8"/>
    </row>
    <row r="10" spans="1:7" ht="15" customHeight="1" x14ac:dyDescent="0.25">
      <c r="A10" s="8"/>
      <c r="B10" s="14"/>
      <c r="C10" s="14"/>
      <c r="D10" s="14"/>
      <c r="E10" s="8"/>
      <c r="F10" s="8"/>
      <c r="G10" s="8"/>
    </row>
    <row r="11" spans="1:7" ht="15" customHeight="1" x14ac:dyDescent="0.25">
      <c r="A11" s="8"/>
      <c r="B11" s="14"/>
      <c r="C11" s="14"/>
      <c r="D11" s="14"/>
      <c r="E11" s="8"/>
      <c r="F11" s="8"/>
      <c r="G11" s="8"/>
    </row>
    <row r="12" spans="1:7" ht="15" customHeight="1" x14ac:dyDescent="0.25">
      <c r="A12" s="8"/>
      <c r="B12" s="14"/>
      <c r="C12" s="14"/>
      <c r="D12" s="14"/>
      <c r="E12" s="8"/>
      <c r="F12" s="8"/>
      <c r="G12" s="8"/>
    </row>
    <row r="13" spans="1:7" ht="15" customHeight="1" x14ac:dyDescent="0.25">
      <c r="A13" s="8"/>
      <c r="B13" s="14"/>
      <c r="C13" s="14"/>
      <c r="D13" s="14"/>
      <c r="E13" s="8"/>
      <c r="F13" s="8"/>
      <c r="G13" s="8"/>
    </row>
    <row r="14" spans="1:7" ht="15" customHeight="1" x14ac:dyDescent="0.25">
      <c r="A14" s="8"/>
      <c r="B14" s="14"/>
      <c r="C14" s="14"/>
      <c r="D14" s="14"/>
      <c r="E14" s="8"/>
      <c r="F14" s="8"/>
      <c r="G14" s="8"/>
    </row>
    <row r="15" spans="1:7" ht="15" customHeight="1" x14ac:dyDescent="0.25">
      <c r="A15" s="8"/>
      <c r="B15" s="14"/>
      <c r="C15" s="14"/>
      <c r="D15" s="14"/>
      <c r="E15" s="8"/>
      <c r="F15" s="8"/>
      <c r="G15" s="8"/>
    </row>
    <row r="16" spans="1:7" ht="15" customHeight="1" x14ac:dyDescent="0.25">
      <c r="A16" s="8"/>
      <c r="B16" s="14"/>
      <c r="C16" s="14"/>
      <c r="D16" s="14"/>
      <c r="E16" s="8"/>
      <c r="F16" s="8"/>
      <c r="G16" s="8"/>
    </row>
    <row r="17" spans="1:7" ht="15" customHeight="1" x14ac:dyDescent="0.25">
      <c r="A17" s="8"/>
      <c r="B17" s="14"/>
      <c r="C17" s="14"/>
      <c r="D17" s="14"/>
      <c r="E17" s="8"/>
      <c r="F17" s="8"/>
      <c r="G17" s="8"/>
    </row>
    <row r="18" spans="1:7" ht="15" customHeight="1" x14ac:dyDescent="0.25">
      <c r="A18" s="8"/>
      <c r="B18" s="14"/>
      <c r="C18" s="14"/>
      <c r="D18" s="14"/>
      <c r="E18" s="8"/>
      <c r="F18" s="8"/>
      <c r="G18" s="8"/>
    </row>
    <row r="19" spans="1:7" ht="15" customHeight="1" x14ac:dyDescent="0.25">
      <c r="A19" s="8"/>
      <c r="B19" s="14"/>
      <c r="C19" s="14"/>
      <c r="D19" s="14"/>
      <c r="E19" s="8"/>
      <c r="F19" s="8"/>
      <c r="G19" s="8"/>
    </row>
    <row r="20" spans="1:7" ht="15" customHeight="1" x14ac:dyDescent="0.25">
      <c r="A20" s="8"/>
      <c r="B20" s="14"/>
      <c r="C20" s="14"/>
      <c r="D20" s="14"/>
      <c r="E20" s="8"/>
      <c r="F20" s="8"/>
      <c r="G20" s="8"/>
    </row>
    <row r="21" spans="1:7" ht="15" customHeight="1" x14ac:dyDescent="0.25">
      <c r="A21" s="8"/>
      <c r="B21" s="14"/>
      <c r="C21" s="14"/>
      <c r="D21" s="14"/>
      <c r="E21" s="8"/>
      <c r="F21" s="8"/>
      <c r="G21" s="8"/>
    </row>
    <row r="22" spans="1:7" ht="15" customHeight="1" x14ac:dyDescent="0.25">
      <c r="A22" s="8"/>
      <c r="B22" s="14"/>
      <c r="C22" s="14"/>
      <c r="D22" s="14"/>
      <c r="E22" s="8"/>
      <c r="F22" s="8"/>
      <c r="G22" s="8"/>
    </row>
    <row r="23" spans="1:7" ht="15" customHeight="1" x14ac:dyDescent="0.25">
      <c r="A23" s="8"/>
      <c r="B23" s="14"/>
      <c r="C23" s="14"/>
      <c r="D23" s="14"/>
      <c r="E23" s="8"/>
      <c r="F23" s="8"/>
      <c r="G23" s="8"/>
    </row>
    <row r="24" spans="1:7" ht="15" customHeight="1" x14ac:dyDescent="0.25">
      <c r="A24" s="8"/>
      <c r="B24" s="14"/>
      <c r="C24" s="14"/>
      <c r="D24" s="14"/>
      <c r="E24" s="8"/>
      <c r="F24" s="8"/>
      <c r="G24" s="8"/>
    </row>
    <row r="25" spans="1:7" ht="15" customHeight="1" x14ac:dyDescent="0.25">
      <c r="A25" s="8"/>
      <c r="B25" s="14"/>
      <c r="C25" s="14"/>
      <c r="D25" s="14"/>
      <c r="E25" s="8"/>
      <c r="F25" s="8"/>
      <c r="G25" s="8"/>
    </row>
  </sheetData>
  <mergeCells count="1">
    <mergeCell ref="A2:G2"/>
  </mergeCells>
  <pageMargins left="0.75" right="0.75" top="1" bottom="1"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6B6B6B"/>
  </sheetPr>
  <dimension ref="A1:F25"/>
  <sheetViews>
    <sheetView zoomScaleNormal="100" workbookViewId="0">
      <pane xSplit="1" ySplit="4" topLeftCell="B5" activePane="bottomRight" state="frozen"/>
      <selection pane="topRight" activeCell="B1" sqref="B1"/>
      <selection pane="bottomLeft" activeCell="A5" sqref="A5"/>
      <selection pane="bottomRight"/>
    </sheetView>
  </sheetViews>
  <sheetFormatPr defaultColWidth="8.7109375" defaultRowHeight="15" x14ac:dyDescent="0.25"/>
  <cols>
    <col min="1" max="1" width="12" customWidth="1"/>
    <col min="2" max="2" width="22" customWidth="1"/>
    <col min="3" max="3" width="24" customWidth="1"/>
    <col min="4" max="4" width="22" customWidth="1"/>
    <col min="5" max="5" width="52" customWidth="1"/>
    <col min="6" max="6" width="10" customWidth="1"/>
  </cols>
  <sheetData>
    <row r="1" spans="1:6" ht="19.5" customHeight="1" x14ac:dyDescent="0.3">
      <c r="A1" s="2" t="s">
        <v>147</v>
      </c>
    </row>
    <row r="2" spans="1:6" ht="31.5" customHeight="1" x14ac:dyDescent="0.25">
      <c r="A2" s="23" t="s">
        <v>148</v>
      </c>
      <c r="B2" s="23"/>
      <c r="C2" s="23"/>
      <c r="D2" s="23"/>
      <c r="E2" s="23"/>
      <c r="F2" s="23"/>
    </row>
    <row r="4" spans="1:6" ht="42" customHeight="1" x14ac:dyDescent="0.25">
      <c r="A4" s="6" t="s">
        <v>28</v>
      </c>
      <c r="B4" s="6" t="s">
        <v>149</v>
      </c>
      <c r="C4" s="6" t="s">
        <v>150</v>
      </c>
      <c r="D4" s="6" t="s">
        <v>151</v>
      </c>
      <c r="E4" s="6" t="s">
        <v>152</v>
      </c>
      <c r="F4" s="6" t="s">
        <v>153</v>
      </c>
    </row>
    <row r="5" spans="1:6" ht="15" customHeight="1" x14ac:dyDescent="0.25">
      <c r="A5" s="7" t="s">
        <v>40</v>
      </c>
      <c r="B5" s="7" t="s">
        <v>154</v>
      </c>
      <c r="C5" s="7" t="s">
        <v>155</v>
      </c>
      <c r="D5" s="7" t="s">
        <v>156</v>
      </c>
      <c r="E5" s="7" t="s">
        <v>157</v>
      </c>
      <c r="F5" s="7" t="s">
        <v>49</v>
      </c>
    </row>
    <row r="6" spans="1:6" ht="15" customHeight="1" x14ac:dyDescent="0.25">
      <c r="A6" s="7" t="s">
        <v>40</v>
      </c>
      <c r="B6" s="7" t="s">
        <v>158</v>
      </c>
      <c r="C6" s="7" t="s">
        <v>159</v>
      </c>
      <c r="D6" s="7" t="s">
        <v>160</v>
      </c>
      <c r="E6" s="7" t="s">
        <v>161</v>
      </c>
      <c r="F6" s="7" t="s">
        <v>52</v>
      </c>
    </row>
    <row r="7" spans="1:6" ht="15" customHeight="1" x14ac:dyDescent="0.25">
      <c r="A7" s="7" t="s">
        <v>40</v>
      </c>
      <c r="B7" s="7" t="s">
        <v>162</v>
      </c>
      <c r="C7" s="7" t="s">
        <v>163</v>
      </c>
      <c r="D7" s="7" t="s">
        <v>164</v>
      </c>
      <c r="E7" s="7" t="s">
        <v>165</v>
      </c>
      <c r="F7" s="7" t="s">
        <v>52</v>
      </c>
    </row>
    <row r="8" spans="1:6" ht="15" customHeight="1" x14ac:dyDescent="0.25">
      <c r="A8" s="7" t="s">
        <v>40</v>
      </c>
      <c r="B8" s="7" t="s">
        <v>166</v>
      </c>
      <c r="C8" s="7" t="s">
        <v>167</v>
      </c>
      <c r="D8" s="7" t="s">
        <v>168</v>
      </c>
      <c r="E8" s="7" t="s">
        <v>169</v>
      </c>
      <c r="F8" s="7" t="s">
        <v>52</v>
      </c>
    </row>
    <row r="9" spans="1:6" ht="15" customHeight="1" x14ac:dyDescent="0.25">
      <c r="A9" s="8"/>
      <c r="B9" s="8"/>
      <c r="C9" s="8"/>
      <c r="D9" s="8"/>
      <c r="E9" s="8"/>
      <c r="F9" s="8"/>
    </row>
    <row r="10" spans="1:6" ht="15" customHeight="1" x14ac:dyDescent="0.25">
      <c r="A10" s="8"/>
      <c r="B10" s="8"/>
      <c r="C10" s="8"/>
      <c r="D10" s="8"/>
      <c r="E10" s="8"/>
      <c r="F10" s="8"/>
    </row>
    <row r="11" spans="1:6" ht="15" customHeight="1" x14ac:dyDescent="0.25">
      <c r="A11" s="8"/>
      <c r="B11" s="8"/>
      <c r="C11" s="8"/>
      <c r="D11" s="8"/>
      <c r="E11" s="8"/>
      <c r="F11" s="8"/>
    </row>
    <row r="12" spans="1:6" ht="15" customHeight="1" x14ac:dyDescent="0.25">
      <c r="A12" s="8"/>
      <c r="B12" s="8"/>
      <c r="C12" s="8"/>
      <c r="D12" s="8"/>
      <c r="E12" s="8"/>
      <c r="F12" s="8"/>
    </row>
    <row r="13" spans="1:6" ht="15" customHeight="1" x14ac:dyDescent="0.25">
      <c r="A13" s="8"/>
      <c r="B13" s="8"/>
      <c r="C13" s="8"/>
      <c r="D13" s="8"/>
      <c r="E13" s="8"/>
      <c r="F13" s="8"/>
    </row>
    <row r="14" spans="1:6" ht="15" customHeight="1" x14ac:dyDescent="0.25">
      <c r="A14" s="8"/>
      <c r="B14" s="8"/>
      <c r="C14" s="8"/>
      <c r="D14" s="8"/>
      <c r="E14" s="8"/>
      <c r="F14" s="8"/>
    </row>
    <row r="15" spans="1:6" ht="15" customHeight="1" x14ac:dyDescent="0.25">
      <c r="A15" s="8"/>
      <c r="B15" s="8"/>
      <c r="C15" s="8"/>
      <c r="D15" s="8"/>
      <c r="E15" s="8"/>
      <c r="F15" s="8"/>
    </row>
    <row r="16" spans="1:6" ht="15" customHeight="1" x14ac:dyDescent="0.25">
      <c r="A16" s="8"/>
      <c r="B16" s="8"/>
      <c r="C16" s="8"/>
      <c r="D16" s="8"/>
      <c r="E16" s="8"/>
      <c r="F16" s="8"/>
    </row>
    <row r="17" spans="1:6" ht="15" customHeight="1" x14ac:dyDescent="0.25">
      <c r="A17" s="8"/>
      <c r="B17" s="8"/>
      <c r="C17" s="8"/>
      <c r="D17" s="8"/>
      <c r="E17" s="8"/>
      <c r="F17" s="8"/>
    </row>
    <row r="18" spans="1:6" ht="15" customHeight="1" x14ac:dyDescent="0.25">
      <c r="A18" s="8"/>
      <c r="B18" s="8"/>
      <c r="C18" s="8"/>
      <c r="D18" s="8"/>
      <c r="E18" s="8"/>
      <c r="F18" s="8"/>
    </row>
    <row r="19" spans="1:6" ht="15" customHeight="1" x14ac:dyDescent="0.25">
      <c r="A19" s="8"/>
      <c r="B19" s="8"/>
      <c r="C19" s="8"/>
      <c r="D19" s="8"/>
      <c r="E19" s="8"/>
      <c r="F19" s="8"/>
    </row>
    <row r="20" spans="1:6" ht="15" customHeight="1" x14ac:dyDescent="0.25">
      <c r="A20" s="8"/>
      <c r="B20" s="8"/>
      <c r="C20" s="8"/>
      <c r="D20" s="8"/>
      <c r="E20" s="8"/>
      <c r="F20" s="8"/>
    </row>
    <row r="21" spans="1:6" ht="15" customHeight="1" x14ac:dyDescent="0.25">
      <c r="A21" s="8"/>
      <c r="B21" s="8"/>
      <c r="C21" s="8"/>
      <c r="D21" s="8"/>
      <c r="E21" s="8"/>
      <c r="F21" s="8"/>
    </row>
    <row r="22" spans="1:6" ht="15" customHeight="1" x14ac:dyDescent="0.25">
      <c r="A22" s="8"/>
      <c r="B22" s="8"/>
      <c r="C22" s="8"/>
      <c r="D22" s="8"/>
      <c r="E22" s="8"/>
      <c r="F22" s="8"/>
    </row>
    <row r="23" spans="1:6" ht="15" customHeight="1" x14ac:dyDescent="0.25">
      <c r="A23" s="8"/>
      <c r="B23" s="8"/>
      <c r="C23" s="8"/>
      <c r="D23" s="8"/>
      <c r="E23" s="8"/>
      <c r="F23" s="8"/>
    </row>
    <row r="24" spans="1:6" ht="15" customHeight="1" x14ac:dyDescent="0.25">
      <c r="A24" s="8"/>
      <c r="B24" s="8"/>
      <c r="C24" s="8"/>
      <c r="D24" s="8"/>
      <c r="E24" s="8"/>
      <c r="F24" s="8"/>
    </row>
    <row r="25" spans="1:6" ht="15" customHeight="1" x14ac:dyDescent="0.25">
      <c r="A25" s="8"/>
      <c r="B25" s="8"/>
      <c r="C25" s="8"/>
      <c r="D25" s="8"/>
      <c r="E25" s="8"/>
      <c r="F25" s="8"/>
    </row>
  </sheetData>
  <mergeCells count="1">
    <mergeCell ref="A2:F2"/>
  </mergeCells>
  <dataValidations count="1">
    <dataValidation type="list" allowBlank="1" errorTitle="Closed value set" error="Not one of the permitted values. The application enforces this enum." sqref="F5:F60" xr:uid="{00000000-0002-0000-0800-000000000000}">
      <formula1>"yes,no"</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00000"/>
  </sheetPr>
  <dimension ref="A1:H27"/>
  <sheetViews>
    <sheetView zoomScaleNormal="100" workbookViewId="0">
      <pane xSplit="1" ySplit="4" topLeftCell="B5" activePane="bottomRight" state="frozen"/>
      <selection pane="topRight" activeCell="B1" sqref="B1"/>
      <selection pane="bottomLeft" activeCell="A5" sqref="A5"/>
      <selection pane="bottomRight"/>
    </sheetView>
  </sheetViews>
  <sheetFormatPr defaultColWidth="8.7109375" defaultRowHeight="15" x14ac:dyDescent="0.25"/>
  <cols>
    <col min="1" max="1" width="12" customWidth="1"/>
    <col min="2" max="2" width="8" customWidth="1"/>
    <col min="3" max="3" width="30" customWidth="1"/>
    <col min="4" max="6" width="56" customWidth="1"/>
    <col min="7" max="7" width="22" customWidth="1"/>
    <col min="8" max="8" width="26" customWidth="1"/>
  </cols>
  <sheetData>
    <row r="1" spans="1:8" ht="19.5" customHeight="1" x14ac:dyDescent="0.3">
      <c r="A1" s="2" t="s">
        <v>170</v>
      </c>
    </row>
    <row r="2" spans="1:8" ht="31.5" customHeight="1" x14ac:dyDescent="0.25">
      <c r="A2" s="23" t="s">
        <v>171</v>
      </c>
      <c r="B2" s="23"/>
      <c r="C2" s="23"/>
      <c r="D2" s="23"/>
      <c r="E2" s="23"/>
      <c r="F2" s="23"/>
      <c r="G2" s="23"/>
      <c r="H2" s="23"/>
    </row>
    <row r="4" spans="1:8" ht="42" customHeight="1" x14ac:dyDescent="0.25">
      <c r="A4" s="6" t="s">
        <v>28</v>
      </c>
      <c r="B4" s="6" t="s">
        <v>172</v>
      </c>
      <c r="C4" s="6" t="s">
        <v>173</v>
      </c>
      <c r="D4" s="6" t="s">
        <v>174</v>
      </c>
      <c r="E4" s="6" t="s">
        <v>175</v>
      </c>
      <c r="F4" s="6" t="s">
        <v>176</v>
      </c>
      <c r="G4" s="6" t="s">
        <v>177</v>
      </c>
      <c r="H4" s="6" t="s">
        <v>178</v>
      </c>
    </row>
    <row r="5" spans="1:8" ht="15" customHeight="1" x14ac:dyDescent="0.25">
      <c r="A5" s="7" t="s">
        <v>40</v>
      </c>
      <c r="B5" s="7" t="s">
        <v>179</v>
      </c>
      <c r="C5" s="7" t="s">
        <v>180</v>
      </c>
      <c r="D5" s="7" t="s">
        <v>181</v>
      </c>
      <c r="E5" s="7" t="s">
        <v>182</v>
      </c>
      <c r="F5" s="7" t="s">
        <v>183</v>
      </c>
      <c r="G5" s="7" t="s">
        <v>92</v>
      </c>
      <c r="H5" s="7" t="s">
        <v>95</v>
      </c>
    </row>
    <row r="6" spans="1:8" ht="15" customHeight="1" x14ac:dyDescent="0.25">
      <c r="A6" s="7" t="s">
        <v>40</v>
      </c>
      <c r="B6" s="7" t="s">
        <v>184</v>
      </c>
      <c r="C6" s="7" t="s">
        <v>185</v>
      </c>
      <c r="D6" s="7" t="s">
        <v>186</v>
      </c>
      <c r="E6" s="7" t="s">
        <v>187</v>
      </c>
      <c r="F6" s="7" t="s">
        <v>188</v>
      </c>
      <c r="G6" s="7" t="s">
        <v>189</v>
      </c>
      <c r="H6" s="7" t="s">
        <v>190</v>
      </c>
    </row>
    <row r="7" spans="1:8" ht="15" customHeight="1" x14ac:dyDescent="0.25">
      <c r="A7" s="7" t="s">
        <v>40</v>
      </c>
      <c r="B7" s="7" t="s">
        <v>191</v>
      </c>
      <c r="C7" s="7" t="s">
        <v>192</v>
      </c>
      <c r="D7" s="7" t="s">
        <v>193</v>
      </c>
      <c r="E7" s="7" t="s">
        <v>194</v>
      </c>
      <c r="F7" s="7" t="s">
        <v>195</v>
      </c>
      <c r="G7" s="7" t="s">
        <v>196</v>
      </c>
      <c r="H7" s="7" t="s">
        <v>197</v>
      </c>
    </row>
    <row r="8" spans="1:8" ht="15" customHeight="1" x14ac:dyDescent="0.25">
      <c r="A8" s="7" t="s">
        <v>50</v>
      </c>
      <c r="B8" s="7" t="s">
        <v>198</v>
      </c>
      <c r="C8" s="7" t="s">
        <v>199</v>
      </c>
      <c r="D8" s="7" t="s">
        <v>200</v>
      </c>
      <c r="E8" s="7" t="s">
        <v>201</v>
      </c>
      <c r="F8" s="7" t="s">
        <v>202</v>
      </c>
      <c r="G8" s="7" t="s">
        <v>64</v>
      </c>
      <c r="H8" s="7" t="s">
        <v>77</v>
      </c>
    </row>
    <row r="9" spans="1:8" ht="15" customHeight="1" x14ac:dyDescent="0.25">
      <c r="A9" s="7" t="s">
        <v>53</v>
      </c>
      <c r="B9" s="7" t="s">
        <v>198</v>
      </c>
      <c r="C9" s="7" t="s">
        <v>203</v>
      </c>
      <c r="D9" s="7" t="s">
        <v>204</v>
      </c>
      <c r="E9" s="7" t="s">
        <v>205</v>
      </c>
      <c r="F9" s="7" t="s">
        <v>206</v>
      </c>
      <c r="G9" s="7" t="s">
        <v>207</v>
      </c>
      <c r="H9" s="7" t="s">
        <v>208</v>
      </c>
    </row>
    <row r="10" spans="1:8" ht="15" customHeight="1" x14ac:dyDescent="0.25">
      <c r="A10" s="7" t="s">
        <v>53</v>
      </c>
      <c r="B10" s="7" t="s">
        <v>179</v>
      </c>
      <c r="C10" s="7" t="s">
        <v>209</v>
      </c>
      <c r="D10" s="7" t="s">
        <v>210</v>
      </c>
      <c r="E10" s="7" t="s">
        <v>211</v>
      </c>
      <c r="F10" s="7" t="s">
        <v>212</v>
      </c>
      <c r="G10" s="7" t="s">
        <v>105</v>
      </c>
      <c r="H10" s="7" t="s">
        <v>213</v>
      </c>
    </row>
    <row r="11" spans="1:8" ht="15" customHeight="1" x14ac:dyDescent="0.25">
      <c r="A11" s="8"/>
      <c r="B11" s="8"/>
      <c r="C11" s="8"/>
      <c r="D11" s="8"/>
      <c r="E11" s="8"/>
      <c r="F11" s="8"/>
      <c r="G11" s="8"/>
      <c r="H11" s="8"/>
    </row>
    <row r="12" spans="1:8" ht="15" customHeight="1" x14ac:dyDescent="0.25">
      <c r="A12" s="8"/>
      <c r="B12" s="8"/>
      <c r="C12" s="8"/>
      <c r="D12" s="8"/>
      <c r="E12" s="8"/>
      <c r="F12" s="8"/>
      <c r="G12" s="8"/>
      <c r="H12" s="8"/>
    </row>
    <row r="13" spans="1:8" ht="15" customHeight="1" x14ac:dyDescent="0.25">
      <c r="A13" s="8"/>
      <c r="B13" s="8"/>
      <c r="C13" s="8"/>
      <c r="D13" s="8"/>
      <c r="E13" s="8"/>
      <c r="F13" s="8"/>
      <c r="G13" s="8"/>
      <c r="H13" s="8"/>
    </row>
    <row r="14" spans="1:8" ht="15" customHeight="1" x14ac:dyDescent="0.25">
      <c r="A14" s="8"/>
      <c r="B14" s="8"/>
      <c r="C14" s="8"/>
      <c r="D14" s="8"/>
      <c r="E14" s="8"/>
      <c r="F14" s="8"/>
      <c r="G14" s="8"/>
      <c r="H14" s="8"/>
    </row>
    <row r="15" spans="1:8" ht="15" customHeight="1" x14ac:dyDescent="0.25">
      <c r="A15" s="8"/>
      <c r="B15" s="8"/>
      <c r="C15" s="8"/>
      <c r="D15" s="8"/>
      <c r="E15" s="8"/>
      <c r="F15" s="8"/>
      <c r="G15" s="8"/>
      <c r="H15" s="8"/>
    </row>
    <row r="16" spans="1:8" ht="15" customHeight="1" x14ac:dyDescent="0.25">
      <c r="A16" s="8"/>
      <c r="B16" s="8"/>
      <c r="C16" s="8"/>
      <c r="D16" s="8"/>
      <c r="E16" s="8"/>
      <c r="F16" s="8"/>
      <c r="G16" s="8"/>
      <c r="H16" s="8"/>
    </row>
    <row r="17" spans="1:8" ht="15" customHeight="1" x14ac:dyDescent="0.25">
      <c r="A17" s="8"/>
      <c r="B17" s="8"/>
      <c r="C17" s="8"/>
      <c r="D17" s="8"/>
      <c r="E17" s="8"/>
      <c r="F17" s="8"/>
      <c r="G17" s="8"/>
      <c r="H17" s="8"/>
    </row>
    <row r="18" spans="1:8" ht="15" customHeight="1" x14ac:dyDescent="0.25">
      <c r="A18" s="8"/>
      <c r="B18" s="8"/>
      <c r="C18" s="8"/>
      <c r="D18" s="8"/>
      <c r="E18" s="8"/>
      <c r="F18" s="8"/>
      <c r="G18" s="8"/>
      <c r="H18" s="8"/>
    </row>
    <row r="19" spans="1:8" ht="15" customHeight="1" x14ac:dyDescent="0.25">
      <c r="A19" s="8"/>
      <c r="B19" s="8"/>
      <c r="C19" s="8"/>
      <c r="D19" s="8"/>
      <c r="E19" s="8"/>
      <c r="F19" s="8"/>
      <c r="G19" s="8"/>
      <c r="H19" s="8"/>
    </row>
    <row r="20" spans="1:8" ht="15" customHeight="1" x14ac:dyDescent="0.25">
      <c r="A20" s="8"/>
      <c r="B20" s="8"/>
      <c r="C20" s="8"/>
      <c r="D20" s="8"/>
      <c r="E20" s="8"/>
      <c r="F20" s="8"/>
      <c r="G20" s="8"/>
      <c r="H20" s="8"/>
    </row>
    <row r="21" spans="1:8" ht="15" customHeight="1" x14ac:dyDescent="0.25">
      <c r="A21" s="8"/>
      <c r="B21" s="8"/>
      <c r="C21" s="8"/>
      <c r="D21" s="8"/>
      <c r="E21" s="8"/>
      <c r="F21" s="8"/>
      <c r="G21" s="8"/>
      <c r="H21" s="8"/>
    </row>
    <row r="22" spans="1:8" ht="15" customHeight="1" x14ac:dyDescent="0.25">
      <c r="A22" s="8"/>
      <c r="B22" s="8"/>
      <c r="C22" s="8"/>
      <c r="D22" s="8"/>
      <c r="E22" s="8"/>
      <c r="F22" s="8"/>
      <c r="G22" s="8"/>
      <c r="H22" s="8"/>
    </row>
    <row r="23" spans="1:8" ht="15" customHeight="1" x14ac:dyDescent="0.25">
      <c r="A23" s="8"/>
      <c r="B23" s="8"/>
      <c r="C23" s="8"/>
      <c r="D23" s="8"/>
      <c r="E23" s="8"/>
      <c r="F23" s="8"/>
      <c r="G23" s="8"/>
      <c r="H23" s="8"/>
    </row>
    <row r="24" spans="1:8" ht="15" customHeight="1" x14ac:dyDescent="0.25">
      <c r="A24" s="8"/>
      <c r="B24" s="8"/>
      <c r="C24" s="8"/>
      <c r="D24" s="8"/>
      <c r="E24" s="8"/>
      <c r="F24" s="8"/>
      <c r="G24" s="8"/>
      <c r="H24" s="8"/>
    </row>
    <row r="25" spans="1:8" ht="15" customHeight="1" x14ac:dyDescent="0.25">
      <c r="A25" s="8"/>
      <c r="B25" s="8"/>
      <c r="C25" s="8"/>
      <c r="D25" s="8"/>
      <c r="E25" s="8"/>
      <c r="F25" s="8"/>
      <c r="G25" s="8"/>
      <c r="H25" s="8"/>
    </row>
    <row r="27" spans="1:8" ht="30" customHeight="1" x14ac:dyDescent="0.25">
      <c r="A27" s="23" t="s">
        <v>214</v>
      </c>
      <c r="B27" s="23"/>
      <c r="C27" s="23"/>
      <c r="D27" s="23"/>
      <c r="E27" s="23"/>
      <c r="F27" s="23"/>
      <c r="G27" s="23"/>
      <c r="H27" s="23"/>
    </row>
  </sheetData>
  <mergeCells count="2">
    <mergeCell ref="A2:H2"/>
    <mergeCell ref="A27:H27"/>
  </mergeCells>
  <pageMargins left="0.75" right="0.75" top="1" bottom="1" header="0.511811023622047" footer="0.511811023622047"/>
  <pageSetup paperSize="9" orientation="portrait" horizontalDpi="300" verticalDpi="30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65656"/>
  </sheetPr>
  <dimension ref="A1:G25"/>
  <sheetViews>
    <sheetView zoomScaleNormal="100" workbookViewId="0">
      <pane xSplit="1" ySplit="4" topLeftCell="B5" activePane="bottomRight" state="frozen"/>
      <selection pane="topRight" activeCell="B1" sqref="B1"/>
      <selection pane="bottomLeft" activeCell="A5" sqref="A5"/>
      <selection pane="bottomRight" activeCell="D22" sqref="D22"/>
    </sheetView>
  </sheetViews>
  <sheetFormatPr defaultColWidth="8.7109375" defaultRowHeight="15" x14ac:dyDescent="0.25"/>
  <cols>
    <col min="1" max="1" width="12" customWidth="1"/>
    <col min="2" max="2" width="10" customWidth="1"/>
    <col min="3" max="3" width="14" customWidth="1"/>
    <col min="4" max="4" width="56" customWidth="1"/>
    <col min="5" max="5" width="16" customWidth="1"/>
    <col min="6" max="6" width="28" customWidth="1"/>
    <col min="7" max="7" width="30" customWidth="1"/>
  </cols>
  <sheetData>
    <row r="1" spans="1:7" ht="19.5" customHeight="1" x14ac:dyDescent="0.3">
      <c r="A1" s="2" t="s">
        <v>215</v>
      </c>
    </row>
    <row r="2" spans="1:7" ht="31.5" customHeight="1" x14ac:dyDescent="0.25">
      <c r="A2" s="23" t="s">
        <v>216</v>
      </c>
      <c r="B2" s="23"/>
      <c r="C2" s="23"/>
      <c r="D2" s="23"/>
      <c r="E2" s="23"/>
      <c r="F2" s="23"/>
      <c r="G2" s="23"/>
    </row>
    <row r="4" spans="1:7" ht="42" customHeight="1" x14ac:dyDescent="0.25">
      <c r="A4" s="6" t="s">
        <v>28</v>
      </c>
      <c r="B4" s="6" t="s">
        <v>217</v>
      </c>
      <c r="C4" s="6" t="s">
        <v>218</v>
      </c>
      <c r="D4" s="6" t="s">
        <v>219</v>
      </c>
      <c r="E4" s="6" t="s">
        <v>220</v>
      </c>
      <c r="F4" s="6" t="s">
        <v>221</v>
      </c>
      <c r="G4" s="6" t="s">
        <v>222</v>
      </c>
    </row>
    <row r="5" spans="1:7" ht="15" customHeight="1" x14ac:dyDescent="0.25">
      <c r="A5" s="7" t="s">
        <v>40</v>
      </c>
      <c r="B5" s="7" t="s">
        <v>223</v>
      </c>
      <c r="C5" s="7" t="s">
        <v>224</v>
      </c>
      <c r="D5" s="7" t="s">
        <v>225</v>
      </c>
      <c r="E5" s="7" t="s">
        <v>45</v>
      </c>
      <c r="F5" s="7"/>
      <c r="G5" s="7"/>
    </row>
    <row r="6" spans="1:7" ht="15" customHeight="1" x14ac:dyDescent="0.25">
      <c r="A6" s="8"/>
      <c r="B6" s="8"/>
      <c r="C6" s="8"/>
      <c r="D6" s="8"/>
      <c r="E6" s="8"/>
      <c r="F6" s="8"/>
      <c r="G6" s="8"/>
    </row>
    <row r="7" spans="1:7" ht="15" customHeight="1" x14ac:dyDescent="0.25">
      <c r="A7" s="8"/>
      <c r="B7" s="8"/>
      <c r="C7" s="8"/>
      <c r="D7" s="8"/>
      <c r="E7" s="8"/>
      <c r="F7" s="8"/>
      <c r="G7" s="8"/>
    </row>
    <row r="8" spans="1:7" ht="15" customHeight="1" x14ac:dyDescent="0.25">
      <c r="A8" s="8"/>
      <c r="B8" s="8"/>
      <c r="C8" s="8"/>
      <c r="D8" s="8"/>
      <c r="E8" s="8"/>
      <c r="F8" s="8"/>
      <c r="G8" s="8"/>
    </row>
    <row r="9" spans="1:7" ht="15" customHeight="1" x14ac:dyDescent="0.25">
      <c r="A9" s="8"/>
      <c r="B9" s="8"/>
      <c r="C9" s="8"/>
      <c r="D9" s="8"/>
      <c r="E9" s="8"/>
      <c r="F9" s="8"/>
      <c r="G9" s="8"/>
    </row>
    <row r="10" spans="1:7" ht="15" customHeight="1" x14ac:dyDescent="0.25">
      <c r="A10" s="8"/>
      <c r="B10" s="8"/>
      <c r="C10" s="8"/>
      <c r="D10" s="8"/>
      <c r="E10" s="8"/>
      <c r="F10" s="8"/>
      <c r="G10" s="8"/>
    </row>
    <row r="11" spans="1:7" ht="15" customHeight="1" x14ac:dyDescent="0.25">
      <c r="A11" s="8"/>
      <c r="B11" s="8"/>
      <c r="C11" s="8"/>
      <c r="D11" s="8"/>
      <c r="E11" s="8"/>
      <c r="F11" s="8"/>
      <c r="G11" s="8"/>
    </row>
    <row r="12" spans="1:7" ht="15" customHeight="1" x14ac:dyDescent="0.25">
      <c r="A12" s="8"/>
      <c r="B12" s="8"/>
      <c r="C12" s="8"/>
      <c r="D12" s="8"/>
      <c r="E12" s="8"/>
      <c r="F12" s="8"/>
      <c r="G12" s="8"/>
    </row>
    <row r="13" spans="1:7" ht="15" customHeight="1" x14ac:dyDescent="0.25">
      <c r="A13" s="8"/>
      <c r="B13" s="8"/>
      <c r="C13" s="8"/>
      <c r="D13" s="8"/>
      <c r="E13" s="8"/>
      <c r="F13" s="8"/>
      <c r="G13" s="8"/>
    </row>
    <row r="14" spans="1:7" ht="15" customHeight="1" x14ac:dyDescent="0.25">
      <c r="A14" s="8"/>
      <c r="B14" s="8"/>
      <c r="C14" s="8"/>
      <c r="D14" s="8"/>
      <c r="E14" s="8"/>
      <c r="F14" s="8"/>
      <c r="G14" s="8"/>
    </row>
    <row r="15" spans="1:7" ht="15" customHeight="1" x14ac:dyDescent="0.25">
      <c r="A15" s="8"/>
      <c r="B15" s="8"/>
      <c r="C15" s="8"/>
      <c r="D15" s="8"/>
      <c r="E15" s="8"/>
      <c r="F15" s="8"/>
      <c r="G15" s="8"/>
    </row>
    <row r="16" spans="1:7" ht="15" customHeight="1" x14ac:dyDescent="0.25">
      <c r="A16" s="8"/>
      <c r="B16" s="8"/>
      <c r="C16" s="8"/>
      <c r="D16" s="8"/>
      <c r="E16" s="8"/>
      <c r="F16" s="8"/>
      <c r="G16" s="8"/>
    </row>
    <row r="17" spans="1:7" ht="15" customHeight="1" x14ac:dyDescent="0.25">
      <c r="A17" s="8"/>
      <c r="B17" s="8"/>
      <c r="C17" s="8"/>
      <c r="D17" s="8"/>
      <c r="E17" s="8"/>
      <c r="F17" s="8"/>
      <c r="G17" s="8"/>
    </row>
    <row r="18" spans="1:7" ht="15" customHeight="1" x14ac:dyDescent="0.25">
      <c r="A18" s="8"/>
      <c r="B18" s="8"/>
      <c r="C18" s="8"/>
      <c r="D18" s="8"/>
      <c r="E18" s="8"/>
      <c r="F18" s="8"/>
      <c r="G18" s="8"/>
    </row>
    <row r="19" spans="1:7" ht="15" customHeight="1" x14ac:dyDescent="0.25">
      <c r="A19" s="8"/>
      <c r="B19" s="8"/>
      <c r="C19" s="8"/>
      <c r="D19" s="8"/>
      <c r="E19" s="8"/>
      <c r="F19" s="8"/>
      <c r="G19" s="8"/>
    </row>
    <row r="20" spans="1:7" ht="15" customHeight="1" x14ac:dyDescent="0.25">
      <c r="A20" s="8"/>
      <c r="B20" s="8"/>
      <c r="C20" s="8"/>
      <c r="D20" s="8"/>
      <c r="E20" s="8"/>
      <c r="F20" s="8"/>
      <c r="G20" s="8"/>
    </row>
    <row r="21" spans="1:7" ht="15" customHeight="1" x14ac:dyDescent="0.25">
      <c r="A21" s="8"/>
      <c r="B21" s="8"/>
      <c r="C21" s="8"/>
      <c r="D21" s="8"/>
      <c r="E21" s="8"/>
      <c r="F21" s="8"/>
      <c r="G21" s="8"/>
    </row>
    <row r="22" spans="1:7" ht="15" customHeight="1" x14ac:dyDescent="0.25">
      <c r="A22" s="8"/>
      <c r="B22" s="8"/>
      <c r="C22" s="8"/>
      <c r="D22" s="8"/>
      <c r="E22" s="8"/>
      <c r="F22" s="8"/>
      <c r="G22" s="8"/>
    </row>
    <row r="23" spans="1:7" ht="15" customHeight="1" x14ac:dyDescent="0.25">
      <c r="A23" s="8"/>
      <c r="B23" s="8"/>
      <c r="C23" s="8"/>
      <c r="D23" s="8"/>
      <c r="E23" s="8"/>
      <c r="F23" s="8"/>
      <c r="G23" s="8"/>
    </row>
    <row r="24" spans="1:7" ht="15" customHeight="1" x14ac:dyDescent="0.25">
      <c r="A24" s="8"/>
      <c r="B24" s="8"/>
      <c r="C24" s="8"/>
      <c r="D24" s="8"/>
      <c r="E24" s="8"/>
      <c r="F24" s="8"/>
      <c r="G24" s="8"/>
    </row>
    <row r="25" spans="1:7" ht="15" customHeight="1" x14ac:dyDescent="0.25">
      <c r="A25" s="8"/>
      <c r="B25" s="8"/>
      <c r="C25" s="8"/>
      <c r="D25" s="8"/>
      <c r="E25" s="8"/>
      <c r="F25" s="8"/>
      <c r="G25" s="8"/>
    </row>
  </sheetData>
  <mergeCells count="1">
    <mergeCell ref="A2:G2"/>
  </mergeCells>
  <dataValidations count="1">
    <dataValidation type="list" allowBlank="1" errorTitle="Closed value set" error="Not one of the permitted values. The application enforces this enum." sqref="C5:C60" xr:uid="{00000000-0002-0000-0A00-000000000000}">
      <formula1>"photograph,render,drawing"</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00000"/>
  </sheetPr>
  <dimension ref="A1:H33"/>
  <sheetViews>
    <sheetView zoomScaleNormal="100" workbookViewId="0">
      <pane ySplit="4" topLeftCell="A5" activePane="bottomLeft" state="frozen"/>
      <selection pane="bottomLeft"/>
    </sheetView>
  </sheetViews>
  <sheetFormatPr defaultColWidth="8.7109375" defaultRowHeight="15" x14ac:dyDescent="0.25"/>
  <cols>
    <col min="1" max="1" width="14" customWidth="1"/>
    <col min="2" max="2" width="20" customWidth="1"/>
    <col min="3" max="3" width="22" customWidth="1"/>
    <col min="4" max="6" width="20" customWidth="1"/>
    <col min="7" max="7" width="16" customWidth="1"/>
    <col min="8" max="8" width="56" customWidth="1"/>
  </cols>
  <sheetData>
    <row r="1" spans="1:8" ht="19.5" customHeight="1" x14ac:dyDescent="0.3">
      <c r="A1" s="2" t="s">
        <v>226</v>
      </c>
    </row>
    <row r="2" spans="1:8" ht="31.5" customHeight="1" x14ac:dyDescent="0.25">
      <c r="A2" s="23" t="s">
        <v>227</v>
      </c>
      <c r="B2" s="23"/>
      <c r="C2" s="23"/>
      <c r="D2" s="23"/>
      <c r="E2" s="23"/>
      <c r="F2" s="23"/>
      <c r="G2" s="23"/>
      <c r="H2" s="23"/>
    </row>
    <row r="4" spans="1:8" ht="39.75" customHeight="1" x14ac:dyDescent="0.25">
      <c r="A4" s="6" t="s">
        <v>28</v>
      </c>
      <c r="B4" s="6" t="s">
        <v>228</v>
      </c>
      <c r="C4" s="6" t="s">
        <v>229</v>
      </c>
      <c r="D4" s="6" t="s">
        <v>230</v>
      </c>
      <c r="E4" s="6" t="s">
        <v>231</v>
      </c>
      <c r="F4" s="6" t="s">
        <v>232</v>
      </c>
      <c r="G4" s="6" t="s">
        <v>233</v>
      </c>
      <c r="H4" s="6" t="s">
        <v>234</v>
      </c>
    </row>
    <row r="5" spans="1:8" ht="15" customHeight="1" x14ac:dyDescent="0.25">
      <c r="A5" s="17" t="str">
        <f>'1 Vehicle'!A5</f>
        <v>slowspace</v>
      </c>
      <c r="B5" s="5" t="str">
        <f>IF('4 Units &amp; ladder'!B5="","",IF(MOD(10000,'4 Units &amp; ladder'!B5)=0,"PASS","FAIL"))</f>
        <v>PASS</v>
      </c>
      <c r="C5" s="5" t="str">
        <f>IF('4 Units &amp; ladder'!M5="","",IF(MOD('4 Units &amp; ladder'!M5,1)=0,"PASS","FAIL"))</f>
        <v>PASS</v>
      </c>
      <c r="D5" s="5" t="str">
        <f>IF('5 Operating &amp; waterfall'!E5="","",IF(AND('5 Operating &amp; waterfall'!E5&gt;0,'5 Operating &amp; waterfall'!F5&gt;0,'5 Operating &amp; waterfall'!G5&gt;0,'5 Operating &amp; waterfall'!H5&gt;0,'5 Operating &amp; waterfall'!I5&gt;0,'5 Operating &amp; waterfall'!E5+'5 Operating &amp; waterfall'!F5+'5 Operating &amp; waterfall'!G5+'5 Operating &amp; waterfall'!H5+'5 Operating &amp; waterfall'!I5&lt;10000),"PASS","FAIL"))</f>
        <v>PASS</v>
      </c>
      <c r="E5" s="5" t="str">
        <f>IF('5 Operating &amp; waterfall'!J5="","",IF('5 Operating &amp; waterfall'!J5&gt;0,"PASS","FAIL"))</f>
        <v>PASS</v>
      </c>
      <c r="F5" s="5" t="str">
        <f>IF('6 Time'!D5="","",IF('6 Time'!D5*'4 Units &amp; ladder'!L5&lt;='6 Time'!C5,"PASS","FAIL"))</f>
        <v/>
      </c>
      <c r="G5" s="5" t="str">
        <f>IF('4 Units &amp; ladder'!N5="","",IF('4 Units &amp; ladder'!N5&lt;='4 Units &amp; ladder'!L5,"PASS","FAIL"))</f>
        <v>PASS</v>
      </c>
      <c r="H5" s="5"/>
    </row>
    <row r="6" spans="1:8" ht="15" customHeight="1" x14ac:dyDescent="0.25">
      <c r="A6" s="17" t="str">
        <f>'1 Vehicle'!A6</f>
        <v>solace</v>
      </c>
      <c r="B6" s="5" t="str">
        <f>IF('4 Units &amp; ladder'!B6="","",IF(MOD(10000,'4 Units &amp; ladder'!B6)=0,"PASS","FAIL"))</f>
        <v>PASS</v>
      </c>
      <c r="C6" s="5" t="str">
        <f>IF('4 Units &amp; ladder'!M6="","",IF(MOD('4 Units &amp; ladder'!M6,1)=0,"PASS","FAIL"))</f>
        <v>PASS</v>
      </c>
      <c r="D6" s="5" t="str">
        <f>IF('5 Operating &amp; waterfall'!E6="","",IF(AND('5 Operating &amp; waterfall'!E6&gt;0,'5 Operating &amp; waterfall'!F6&gt;0,'5 Operating &amp; waterfall'!G6&gt;0,'5 Operating &amp; waterfall'!H6&gt;0,'5 Operating &amp; waterfall'!I6&gt;0,'5 Operating &amp; waterfall'!E6+'5 Operating &amp; waterfall'!F6+'5 Operating &amp; waterfall'!G6+'5 Operating &amp; waterfall'!H6+'5 Operating &amp; waterfall'!I6&lt;10000),"PASS","FAIL"))</f>
        <v>PASS</v>
      </c>
      <c r="E6" s="5" t="str">
        <f>IF('5 Operating &amp; waterfall'!J6="","",IF('5 Operating &amp; waterfall'!J6&gt;0,"PASS","FAIL"))</f>
        <v>PASS</v>
      </c>
      <c r="F6" s="5" t="str">
        <f>IF('6 Time'!D6="","",IF('6 Time'!D6*'4 Units &amp; ladder'!L6&lt;='6 Time'!C6,"PASS","FAIL"))</f>
        <v/>
      </c>
      <c r="G6" s="5" t="str">
        <f>IF('4 Units &amp; ladder'!N6="","",IF('4 Units &amp; ladder'!N6&lt;='4 Units &amp; ladder'!L6,"PASS","FAIL"))</f>
        <v>PASS</v>
      </c>
      <c r="H6" s="5"/>
    </row>
    <row r="7" spans="1:8" ht="15" customHeight="1" x14ac:dyDescent="0.25">
      <c r="A7" s="17" t="str">
        <f>'1 Vehicle'!A7</f>
        <v>coorgcreek</v>
      </c>
      <c r="B7" s="5" t="str">
        <f>IF('4 Units &amp; ladder'!B7="","",IF(MOD(10000,'4 Units &amp; ladder'!B7)=0,"PASS","FAIL"))</f>
        <v>PASS</v>
      </c>
      <c r="C7" s="5" t="str">
        <f>IF('4 Units &amp; ladder'!M7="","",IF(MOD('4 Units &amp; ladder'!M7,1)=0,"PASS","FAIL"))</f>
        <v>PASS</v>
      </c>
      <c r="D7" s="5" t="str">
        <f>IF('5 Operating &amp; waterfall'!E7="","",IF(AND('5 Operating &amp; waterfall'!E7&gt;0,'5 Operating &amp; waterfall'!F7&gt;0,'5 Operating &amp; waterfall'!G7&gt;0,'5 Operating &amp; waterfall'!H7&gt;0,'5 Operating &amp; waterfall'!I7&gt;0,'5 Operating &amp; waterfall'!E7+'5 Operating &amp; waterfall'!F7+'5 Operating &amp; waterfall'!G7+'5 Operating &amp; waterfall'!H7+'5 Operating &amp; waterfall'!I7&lt;10000),"PASS","FAIL"))</f>
        <v>PASS</v>
      </c>
      <c r="E7" s="5" t="str">
        <f>IF('5 Operating &amp; waterfall'!J7="","",IF('5 Operating &amp; waterfall'!J7&gt;0,"PASS","FAIL"))</f>
        <v>PASS</v>
      </c>
      <c r="F7" s="5" t="str">
        <f>IF('6 Time'!D7="","",IF('6 Time'!D7*'4 Units &amp; ladder'!L7&lt;='6 Time'!C7,"PASS","FAIL"))</f>
        <v/>
      </c>
      <c r="G7" s="5" t="str">
        <f>IF('4 Units &amp; ladder'!N7="","",IF('4 Units &amp; ladder'!N7&lt;='4 Units &amp; ladder'!L7,"PASS","FAIL"))</f>
        <v>PASS</v>
      </c>
      <c r="H7" s="5"/>
    </row>
    <row r="8" spans="1:8" ht="15" customHeight="1" x14ac:dyDescent="0.25">
      <c r="A8" s="17">
        <f>'1 Vehicle'!A8</f>
        <v>0</v>
      </c>
      <c r="B8" s="5" t="e">
        <f>IF('4 Units &amp; ladder'!#REF!="","",IF(MOD(10000,'4 Units &amp; ladder'!#REF!)=0,"PASS","FAIL"))</f>
        <v>#REF!</v>
      </c>
      <c r="C8" s="5" t="str">
        <f>IF('4 Units &amp; ladder'!M8="","",IF(MOD('4 Units &amp; ladder'!M8,1)=0,"PASS","FAIL"))</f>
        <v/>
      </c>
      <c r="D8" s="5" t="str">
        <f>IF('5 Operating &amp; waterfall'!E8="","",IF(AND('5 Operating &amp; waterfall'!E8&gt;0,'5 Operating &amp; waterfall'!F8&gt;0,'5 Operating &amp; waterfall'!G8&gt;0,'5 Operating &amp; waterfall'!H8&gt;0,'5 Operating &amp; waterfall'!I8&gt;0,'5 Operating &amp; waterfall'!E8+'5 Operating &amp; waterfall'!F8+'5 Operating &amp; waterfall'!G8+'5 Operating &amp; waterfall'!H8+'5 Operating &amp; waterfall'!I8&lt;10000),"PASS","FAIL"))</f>
        <v/>
      </c>
      <c r="E8" s="5" t="str">
        <f>IF('5 Operating &amp; waterfall'!J8="","",IF('5 Operating &amp; waterfall'!J8&gt;0,"PASS","FAIL"))</f>
        <v/>
      </c>
      <c r="F8" s="5" t="str">
        <f>IF('6 Time'!D8="","",IF('6 Time'!D8*'4 Units &amp; ladder'!L8&lt;='6 Time'!C8,"PASS","FAIL"))</f>
        <v/>
      </c>
      <c r="G8" s="5" t="str">
        <f>IF('4 Units &amp; ladder'!N8="","",IF('4 Units &amp; ladder'!N8&lt;='4 Units &amp; ladder'!L8,"PASS","FAIL"))</f>
        <v/>
      </c>
      <c r="H8" s="5"/>
    </row>
    <row r="9" spans="1:8" ht="15" customHeight="1" x14ac:dyDescent="0.25">
      <c r="A9" s="17">
        <f>'1 Vehicle'!A9</f>
        <v>0</v>
      </c>
      <c r="B9" s="5" t="e">
        <f>IF('4 Units &amp; ladder'!#REF!="","",IF(MOD(10000,'4 Units &amp; ladder'!#REF!)=0,"PASS","FAIL"))</f>
        <v>#REF!</v>
      </c>
      <c r="C9" s="5" t="str">
        <f>IF('4 Units &amp; ladder'!M9="","",IF(MOD('4 Units &amp; ladder'!M9,1)=0,"PASS","FAIL"))</f>
        <v/>
      </c>
      <c r="D9" s="5" t="str">
        <f>IF('5 Operating &amp; waterfall'!E9="","",IF(AND('5 Operating &amp; waterfall'!E9&gt;0,'5 Operating &amp; waterfall'!F9&gt;0,'5 Operating &amp; waterfall'!G9&gt;0,'5 Operating &amp; waterfall'!H9&gt;0,'5 Operating &amp; waterfall'!I9&gt;0,'5 Operating &amp; waterfall'!E9+'5 Operating &amp; waterfall'!F9+'5 Operating &amp; waterfall'!G9+'5 Operating &amp; waterfall'!H9+'5 Operating &amp; waterfall'!I9&lt;10000),"PASS","FAIL"))</f>
        <v/>
      </c>
      <c r="E9" s="5" t="str">
        <f>IF('5 Operating &amp; waterfall'!J9="","",IF('5 Operating &amp; waterfall'!J9&gt;0,"PASS","FAIL"))</f>
        <v/>
      </c>
      <c r="F9" s="5" t="str">
        <f>IF('6 Time'!D9="","",IF('6 Time'!D9*'4 Units &amp; ladder'!L9&lt;='6 Time'!C9,"PASS","FAIL"))</f>
        <v/>
      </c>
      <c r="G9" s="5" t="str">
        <f>IF('4 Units &amp; ladder'!N9="","",IF('4 Units &amp; ladder'!N9&lt;='4 Units &amp; ladder'!L9,"PASS","FAIL"))</f>
        <v/>
      </c>
      <c r="H9" s="5"/>
    </row>
    <row r="10" spans="1:8" ht="15" customHeight="1" x14ac:dyDescent="0.25">
      <c r="A10" s="17">
        <f>'1 Vehicle'!A10</f>
        <v>0</v>
      </c>
      <c r="B10" s="5" t="e">
        <f>IF('4 Units &amp; ladder'!#REF!="","",IF(MOD(10000,'4 Units &amp; ladder'!#REF!)=0,"PASS","FAIL"))</f>
        <v>#REF!</v>
      </c>
      <c r="C10" s="5" t="str">
        <f>IF('4 Units &amp; ladder'!M10="","",IF(MOD('4 Units &amp; ladder'!M10,1)=0,"PASS","FAIL"))</f>
        <v/>
      </c>
      <c r="D10" s="5" t="str">
        <f>IF('5 Operating &amp; waterfall'!E10="","",IF(AND('5 Operating &amp; waterfall'!E10&gt;0,'5 Operating &amp; waterfall'!F10&gt;0,'5 Operating &amp; waterfall'!G10&gt;0,'5 Operating &amp; waterfall'!H10&gt;0,'5 Operating &amp; waterfall'!I10&gt;0,'5 Operating &amp; waterfall'!E10+'5 Operating &amp; waterfall'!F10+'5 Operating &amp; waterfall'!G10+'5 Operating &amp; waterfall'!H10+'5 Operating &amp; waterfall'!I10&lt;10000),"PASS","FAIL"))</f>
        <v/>
      </c>
      <c r="E10" s="5" t="str">
        <f>IF('5 Operating &amp; waterfall'!J10="","",IF('5 Operating &amp; waterfall'!J10&gt;0,"PASS","FAIL"))</f>
        <v/>
      </c>
      <c r="F10" s="5" t="str">
        <f>IF('6 Time'!D10="","",IF('6 Time'!D10*'4 Units &amp; ladder'!L10&lt;='6 Time'!C10,"PASS","FAIL"))</f>
        <v/>
      </c>
      <c r="G10" s="5" t="str">
        <f>IF('4 Units &amp; ladder'!N10="","",IF('4 Units &amp; ladder'!N10&lt;='4 Units &amp; ladder'!L10,"PASS","FAIL"))</f>
        <v/>
      </c>
      <c r="H10" s="5"/>
    </row>
    <row r="11" spans="1:8" ht="15" customHeight="1" x14ac:dyDescent="0.25">
      <c r="A11" s="17">
        <f>'1 Vehicle'!A11</f>
        <v>0</v>
      </c>
      <c r="B11" s="5" t="e">
        <f>IF('4 Units &amp; ladder'!#REF!="","",IF(MOD(10000,'4 Units &amp; ladder'!#REF!)=0,"PASS","FAIL"))</f>
        <v>#REF!</v>
      </c>
      <c r="C11" s="5" t="str">
        <f>IF('4 Units &amp; ladder'!M11="","",IF(MOD('4 Units &amp; ladder'!M11,1)=0,"PASS","FAIL"))</f>
        <v/>
      </c>
      <c r="D11" s="5" t="str">
        <f>IF('5 Operating &amp; waterfall'!E11="","",IF(AND('5 Operating &amp; waterfall'!E11&gt;0,'5 Operating &amp; waterfall'!F11&gt;0,'5 Operating &amp; waterfall'!G11&gt;0,'5 Operating &amp; waterfall'!H11&gt;0,'5 Operating &amp; waterfall'!I11&gt;0,'5 Operating &amp; waterfall'!E11+'5 Operating &amp; waterfall'!F11+'5 Operating &amp; waterfall'!G11+'5 Operating &amp; waterfall'!H11+'5 Operating &amp; waterfall'!I11&lt;10000),"PASS","FAIL"))</f>
        <v/>
      </c>
      <c r="E11" s="5" t="str">
        <f>IF('5 Operating &amp; waterfall'!J11="","",IF('5 Operating &amp; waterfall'!J11&gt;0,"PASS","FAIL"))</f>
        <v/>
      </c>
      <c r="F11" s="5" t="str">
        <f>IF('6 Time'!D11="","",IF('6 Time'!D11*'4 Units &amp; ladder'!L11&lt;='6 Time'!C11,"PASS","FAIL"))</f>
        <v/>
      </c>
      <c r="G11" s="5" t="str">
        <f>IF('4 Units &amp; ladder'!N11="","",IF('4 Units &amp; ladder'!N11&lt;='4 Units &amp; ladder'!L11,"PASS","FAIL"))</f>
        <v/>
      </c>
      <c r="H11" s="5"/>
    </row>
    <row r="12" spans="1:8" ht="15" customHeight="1" x14ac:dyDescent="0.25">
      <c r="A12" s="17">
        <f>'1 Vehicle'!A12</f>
        <v>0</v>
      </c>
      <c r="B12" s="5" t="e">
        <f>IF('4 Units &amp; ladder'!#REF!="","",IF(MOD(10000,'4 Units &amp; ladder'!#REF!)=0,"PASS","FAIL"))</f>
        <v>#REF!</v>
      </c>
      <c r="C12" s="5" t="str">
        <f>IF('4 Units &amp; ladder'!M12="","",IF(MOD('4 Units &amp; ladder'!M12,1)=0,"PASS","FAIL"))</f>
        <v/>
      </c>
      <c r="D12" s="5" t="str">
        <f>IF('5 Operating &amp; waterfall'!E12="","",IF(AND('5 Operating &amp; waterfall'!E12&gt;0,'5 Operating &amp; waterfall'!F12&gt;0,'5 Operating &amp; waterfall'!G12&gt;0,'5 Operating &amp; waterfall'!H12&gt;0,'5 Operating &amp; waterfall'!I12&gt;0,'5 Operating &amp; waterfall'!E12+'5 Operating &amp; waterfall'!F12+'5 Operating &amp; waterfall'!G12+'5 Operating &amp; waterfall'!H12+'5 Operating &amp; waterfall'!I12&lt;10000),"PASS","FAIL"))</f>
        <v/>
      </c>
      <c r="E12" s="5" t="str">
        <f>IF('5 Operating &amp; waterfall'!J12="","",IF('5 Operating &amp; waterfall'!J12&gt;0,"PASS","FAIL"))</f>
        <v/>
      </c>
      <c r="F12" s="5" t="str">
        <f>IF('6 Time'!D12="","",IF('6 Time'!D12*'4 Units &amp; ladder'!L12&lt;='6 Time'!C12,"PASS","FAIL"))</f>
        <v/>
      </c>
      <c r="G12" s="5" t="str">
        <f>IF('4 Units &amp; ladder'!N12="","",IF('4 Units &amp; ladder'!N12&lt;='4 Units &amp; ladder'!L12,"PASS","FAIL"))</f>
        <v/>
      </c>
      <c r="H12" s="5"/>
    </row>
    <row r="13" spans="1:8" ht="15" customHeight="1" x14ac:dyDescent="0.25">
      <c r="A13" s="17">
        <f>'1 Vehicle'!A13</f>
        <v>0</v>
      </c>
      <c r="B13" s="5" t="e">
        <f>IF('4 Units &amp; ladder'!#REF!="","",IF(MOD(10000,'4 Units &amp; ladder'!#REF!)=0,"PASS","FAIL"))</f>
        <v>#REF!</v>
      </c>
      <c r="C13" s="5" t="str">
        <f>IF('4 Units &amp; ladder'!M13="","",IF(MOD('4 Units &amp; ladder'!M13,1)=0,"PASS","FAIL"))</f>
        <v/>
      </c>
      <c r="D13" s="5" t="str">
        <f>IF('5 Operating &amp; waterfall'!E13="","",IF(AND('5 Operating &amp; waterfall'!E13&gt;0,'5 Operating &amp; waterfall'!F13&gt;0,'5 Operating &amp; waterfall'!G13&gt;0,'5 Operating &amp; waterfall'!H13&gt;0,'5 Operating &amp; waterfall'!I13&gt;0,'5 Operating &amp; waterfall'!E13+'5 Operating &amp; waterfall'!F13+'5 Operating &amp; waterfall'!G13+'5 Operating &amp; waterfall'!H13+'5 Operating &amp; waterfall'!I13&lt;10000),"PASS","FAIL"))</f>
        <v/>
      </c>
      <c r="E13" s="5" t="str">
        <f>IF('5 Operating &amp; waterfall'!J13="","",IF('5 Operating &amp; waterfall'!J13&gt;0,"PASS","FAIL"))</f>
        <v/>
      </c>
      <c r="F13" s="5" t="str">
        <f>IF('6 Time'!D13="","",IF('6 Time'!D13*'4 Units &amp; ladder'!L13&lt;='6 Time'!C13,"PASS","FAIL"))</f>
        <v/>
      </c>
      <c r="G13" s="5" t="str">
        <f>IF('4 Units &amp; ladder'!N13="","",IF('4 Units &amp; ladder'!N13&lt;='4 Units &amp; ladder'!L13,"PASS","FAIL"))</f>
        <v/>
      </c>
      <c r="H13" s="5"/>
    </row>
    <row r="14" spans="1:8" ht="15" customHeight="1" x14ac:dyDescent="0.25">
      <c r="A14" s="17">
        <f>'1 Vehicle'!A14</f>
        <v>0</v>
      </c>
      <c r="B14" s="5" t="e">
        <f>IF('4 Units &amp; ladder'!#REF!="","",IF(MOD(10000,'4 Units &amp; ladder'!#REF!)=0,"PASS","FAIL"))</f>
        <v>#REF!</v>
      </c>
      <c r="C14" s="5" t="str">
        <f>IF('4 Units &amp; ladder'!M14="","",IF(MOD('4 Units &amp; ladder'!M14,1)=0,"PASS","FAIL"))</f>
        <v/>
      </c>
      <c r="D14" s="5" t="str">
        <f>IF('5 Operating &amp; waterfall'!E14="","",IF(AND('5 Operating &amp; waterfall'!E14&gt;0,'5 Operating &amp; waterfall'!F14&gt;0,'5 Operating &amp; waterfall'!G14&gt;0,'5 Operating &amp; waterfall'!H14&gt;0,'5 Operating &amp; waterfall'!I14&gt;0,'5 Operating &amp; waterfall'!E14+'5 Operating &amp; waterfall'!F14+'5 Operating &amp; waterfall'!G14+'5 Operating &amp; waterfall'!H14+'5 Operating &amp; waterfall'!I14&lt;10000),"PASS","FAIL"))</f>
        <v/>
      </c>
      <c r="E14" s="5" t="str">
        <f>IF('5 Operating &amp; waterfall'!J14="","",IF('5 Operating &amp; waterfall'!J14&gt;0,"PASS","FAIL"))</f>
        <v/>
      </c>
      <c r="F14" s="5" t="str">
        <f>IF('6 Time'!D14="","",IF('6 Time'!D14*'4 Units &amp; ladder'!L14&lt;='6 Time'!C14,"PASS","FAIL"))</f>
        <v/>
      </c>
      <c r="G14" s="5" t="str">
        <f>IF('4 Units &amp; ladder'!N14="","",IF('4 Units &amp; ladder'!N14&lt;='4 Units &amp; ladder'!L14,"PASS","FAIL"))</f>
        <v/>
      </c>
      <c r="H14" s="5"/>
    </row>
    <row r="15" spans="1:8" ht="15" customHeight="1" x14ac:dyDescent="0.25">
      <c r="A15" s="17">
        <f>'1 Vehicle'!A15</f>
        <v>0</v>
      </c>
      <c r="B15" s="5" t="e">
        <f>IF('4 Units &amp; ladder'!#REF!="","",IF(MOD(10000,'4 Units &amp; ladder'!#REF!)=0,"PASS","FAIL"))</f>
        <v>#REF!</v>
      </c>
      <c r="C15" s="5" t="str">
        <f>IF('4 Units &amp; ladder'!M15="","",IF(MOD('4 Units &amp; ladder'!M15,1)=0,"PASS","FAIL"))</f>
        <v/>
      </c>
      <c r="D15" s="5" t="str">
        <f>IF('5 Operating &amp; waterfall'!E15="","",IF(AND('5 Operating &amp; waterfall'!E15&gt;0,'5 Operating &amp; waterfall'!F15&gt;0,'5 Operating &amp; waterfall'!G15&gt;0,'5 Operating &amp; waterfall'!H15&gt;0,'5 Operating &amp; waterfall'!I15&gt;0,'5 Operating &amp; waterfall'!E15+'5 Operating &amp; waterfall'!F15+'5 Operating &amp; waterfall'!G15+'5 Operating &amp; waterfall'!H15+'5 Operating &amp; waterfall'!I15&lt;10000),"PASS","FAIL"))</f>
        <v/>
      </c>
      <c r="E15" s="5" t="str">
        <f>IF('5 Operating &amp; waterfall'!J15="","",IF('5 Operating &amp; waterfall'!J15&gt;0,"PASS","FAIL"))</f>
        <v/>
      </c>
      <c r="F15" s="5" t="str">
        <f>IF('6 Time'!D15="","",IF('6 Time'!D15*'4 Units &amp; ladder'!L15&lt;='6 Time'!C15,"PASS","FAIL"))</f>
        <v/>
      </c>
      <c r="G15" s="5" t="str">
        <f>IF('4 Units &amp; ladder'!N15="","",IF('4 Units &amp; ladder'!N15&lt;='4 Units &amp; ladder'!L15,"PASS","FAIL"))</f>
        <v/>
      </c>
      <c r="H15" s="5"/>
    </row>
    <row r="16" spans="1:8" ht="15" customHeight="1" x14ac:dyDescent="0.25">
      <c r="A16" s="17">
        <f>'1 Vehicle'!A16</f>
        <v>0</v>
      </c>
      <c r="B16" s="5" t="e">
        <f>IF('4 Units &amp; ladder'!#REF!="","",IF(MOD(10000,'4 Units &amp; ladder'!#REF!)=0,"PASS","FAIL"))</f>
        <v>#REF!</v>
      </c>
      <c r="C16" s="5" t="str">
        <f>IF('4 Units &amp; ladder'!M16="","",IF(MOD('4 Units &amp; ladder'!M16,1)=0,"PASS","FAIL"))</f>
        <v/>
      </c>
      <c r="D16" s="5" t="str">
        <f>IF('5 Operating &amp; waterfall'!E16="","",IF(AND('5 Operating &amp; waterfall'!E16&gt;0,'5 Operating &amp; waterfall'!F16&gt;0,'5 Operating &amp; waterfall'!G16&gt;0,'5 Operating &amp; waterfall'!H16&gt;0,'5 Operating &amp; waterfall'!I16&gt;0,'5 Operating &amp; waterfall'!E16+'5 Operating &amp; waterfall'!F16+'5 Operating &amp; waterfall'!G16+'5 Operating &amp; waterfall'!H16+'5 Operating &amp; waterfall'!I16&lt;10000),"PASS","FAIL"))</f>
        <v/>
      </c>
      <c r="E16" s="5" t="str">
        <f>IF('5 Operating &amp; waterfall'!J16="","",IF('5 Operating &amp; waterfall'!J16&gt;0,"PASS","FAIL"))</f>
        <v/>
      </c>
      <c r="F16" s="5" t="str">
        <f>IF('6 Time'!D16="","",IF('6 Time'!D16*'4 Units &amp; ladder'!L16&lt;='6 Time'!C16,"PASS","FAIL"))</f>
        <v/>
      </c>
      <c r="G16" s="5" t="str">
        <f>IF('4 Units &amp; ladder'!N16="","",IF('4 Units &amp; ladder'!N16&lt;='4 Units &amp; ladder'!L16,"PASS","FAIL"))</f>
        <v/>
      </c>
      <c r="H16" s="5"/>
    </row>
    <row r="17" spans="1:8" ht="15" customHeight="1" x14ac:dyDescent="0.25">
      <c r="A17" s="17">
        <f>'1 Vehicle'!A17</f>
        <v>0</v>
      </c>
      <c r="B17" s="5" t="e">
        <f>IF('4 Units &amp; ladder'!#REF!="","",IF(MOD(10000,'4 Units &amp; ladder'!#REF!)=0,"PASS","FAIL"))</f>
        <v>#REF!</v>
      </c>
      <c r="C17" s="5" t="str">
        <f>IF('4 Units &amp; ladder'!M17="","",IF(MOD('4 Units &amp; ladder'!M17,1)=0,"PASS","FAIL"))</f>
        <v/>
      </c>
      <c r="D17" s="5" t="str">
        <f>IF('5 Operating &amp; waterfall'!E17="","",IF(AND('5 Operating &amp; waterfall'!E17&gt;0,'5 Operating &amp; waterfall'!F17&gt;0,'5 Operating &amp; waterfall'!G17&gt;0,'5 Operating &amp; waterfall'!H17&gt;0,'5 Operating &amp; waterfall'!I17&gt;0,'5 Operating &amp; waterfall'!E17+'5 Operating &amp; waterfall'!F17+'5 Operating &amp; waterfall'!G17+'5 Operating &amp; waterfall'!H17+'5 Operating &amp; waterfall'!I17&lt;10000),"PASS","FAIL"))</f>
        <v/>
      </c>
      <c r="E17" s="5" t="str">
        <f>IF('5 Operating &amp; waterfall'!J17="","",IF('5 Operating &amp; waterfall'!J17&gt;0,"PASS","FAIL"))</f>
        <v/>
      </c>
      <c r="F17" s="5" t="str">
        <f>IF('6 Time'!D17="","",IF('6 Time'!D17*'4 Units &amp; ladder'!L17&lt;='6 Time'!C17,"PASS","FAIL"))</f>
        <v/>
      </c>
      <c r="G17" s="5" t="str">
        <f>IF('4 Units &amp; ladder'!N17="","",IF('4 Units &amp; ladder'!N17&lt;='4 Units &amp; ladder'!L17,"PASS","FAIL"))</f>
        <v/>
      </c>
      <c r="H17" s="5"/>
    </row>
    <row r="18" spans="1:8" ht="15" customHeight="1" x14ac:dyDescent="0.25">
      <c r="A18" s="17">
        <f>'1 Vehicle'!A18</f>
        <v>0</v>
      </c>
      <c r="B18" s="5" t="e">
        <f>IF('4 Units &amp; ladder'!#REF!="","",IF(MOD(10000,'4 Units &amp; ladder'!#REF!)=0,"PASS","FAIL"))</f>
        <v>#REF!</v>
      </c>
      <c r="C18" s="5" t="str">
        <f>IF('4 Units &amp; ladder'!M18="","",IF(MOD('4 Units &amp; ladder'!M18,1)=0,"PASS","FAIL"))</f>
        <v/>
      </c>
      <c r="D18" s="5" t="str">
        <f>IF('5 Operating &amp; waterfall'!E18="","",IF(AND('5 Operating &amp; waterfall'!E18&gt;0,'5 Operating &amp; waterfall'!F18&gt;0,'5 Operating &amp; waterfall'!G18&gt;0,'5 Operating &amp; waterfall'!H18&gt;0,'5 Operating &amp; waterfall'!I18&gt;0,'5 Operating &amp; waterfall'!E18+'5 Operating &amp; waterfall'!F18+'5 Operating &amp; waterfall'!G18+'5 Operating &amp; waterfall'!H18+'5 Operating &amp; waterfall'!I18&lt;10000),"PASS","FAIL"))</f>
        <v/>
      </c>
      <c r="E18" s="5" t="str">
        <f>IF('5 Operating &amp; waterfall'!J18="","",IF('5 Operating &amp; waterfall'!J18&gt;0,"PASS","FAIL"))</f>
        <v/>
      </c>
      <c r="F18" s="5" t="str">
        <f>IF('6 Time'!D18="","",IF('6 Time'!D18*'4 Units &amp; ladder'!L18&lt;='6 Time'!C18,"PASS","FAIL"))</f>
        <v/>
      </c>
      <c r="G18" s="5" t="str">
        <f>IF('4 Units &amp; ladder'!N18="","",IF('4 Units &amp; ladder'!N18&lt;='4 Units &amp; ladder'!L18,"PASS","FAIL"))</f>
        <v/>
      </c>
      <c r="H18" s="5"/>
    </row>
    <row r="19" spans="1:8" ht="15" customHeight="1" x14ac:dyDescent="0.25">
      <c r="A19" s="17">
        <f>'1 Vehicle'!A19</f>
        <v>0</v>
      </c>
      <c r="B19" s="5" t="e">
        <f>IF('4 Units &amp; ladder'!#REF!="","",IF(MOD(10000,'4 Units &amp; ladder'!#REF!)=0,"PASS","FAIL"))</f>
        <v>#REF!</v>
      </c>
      <c r="C19" s="5" t="str">
        <f>IF('4 Units &amp; ladder'!M19="","",IF(MOD('4 Units &amp; ladder'!M19,1)=0,"PASS","FAIL"))</f>
        <v/>
      </c>
      <c r="D19" s="5" t="str">
        <f>IF('5 Operating &amp; waterfall'!E19="","",IF(AND('5 Operating &amp; waterfall'!E19&gt;0,'5 Operating &amp; waterfall'!F19&gt;0,'5 Operating &amp; waterfall'!G19&gt;0,'5 Operating &amp; waterfall'!H19&gt;0,'5 Operating &amp; waterfall'!I19&gt;0,'5 Operating &amp; waterfall'!E19+'5 Operating &amp; waterfall'!F19+'5 Operating &amp; waterfall'!G19+'5 Operating &amp; waterfall'!H19+'5 Operating &amp; waterfall'!I19&lt;10000),"PASS","FAIL"))</f>
        <v/>
      </c>
      <c r="E19" s="5" t="str">
        <f>IF('5 Operating &amp; waterfall'!J19="","",IF('5 Operating &amp; waterfall'!J19&gt;0,"PASS","FAIL"))</f>
        <v/>
      </c>
      <c r="F19" s="5" t="str">
        <f>IF('6 Time'!D19="","",IF('6 Time'!D19*'4 Units &amp; ladder'!L19&lt;='6 Time'!C19,"PASS","FAIL"))</f>
        <v/>
      </c>
      <c r="G19" s="5" t="str">
        <f>IF('4 Units &amp; ladder'!N19="","",IF('4 Units &amp; ladder'!N19&lt;='4 Units &amp; ladder'!L19,"PASS","FAIL"))</f>
        <v/>
      </c>
      <c r="H19" s="5"/>
    </row>
    <row r="20" spans="1:8" ht="15" customHeight="1" x14ac:dyDescent="0.25">
      <c r="A20" s="17">
        <f>'1 Vehicle'!A20</f>
        <v>0</v>
      </c>
      <c r="B20" s="5" t="e">
        <f>IF('4 Units &amp; ladder'!#REF!="","",IF(MOD(10000,'4 Units &amp; ladder'!#REF!)=0,"PASS","FAIL"))</f>
        <v>#REF!</v>
      </c>
      <c r="C20" s="5" t="str">
        <f>IF('4 Units &amp; ladder'!M20="","",IF(MOD('4 Units &amp; ladder'!M20,1)=0,"PASS","FAIL"))</f>
        <v/>
      </c>
      <c r="D20" s="5" t="str">
        <f>IF('5 Operating &amp; waterfall'!E20="","",IF(AND('5 Operating &amp; waterfall'!E20&gt;0,'5 Operating &amp; waterfall'!F20&gt;0,'5 Operating &amp; waterfall'!G20&gt;0,'5 Operating &amp; waterfall'!H20&gt;0,'5 Operating &amp; waterfall'!I20&gt;0,'5 Operating &amp; waterfall'!E20+'5 Operating &amp; waterfall'!F20+'5 Operating &amp; waterfall'!G20+'5 Operating &amp; waterfall'!H20+'5 Operating &amp; waterfall'!I20&lt;10000),"PASS","FAIL"))</f>
        <v/>
      </c>
      <c r="E20" s="5" t="str">
        <f>IF('5 Operating &amp; waterfall'!J20="","",IF('5 Operating &amp; waterfall'!J20&gt;0,"PASS","FAIL"))</f>
        <v/>
      </c>
      <c r="F20" s="5" t="str">
        <f>IF('6 Time'!D20="","",IF('6 Time'!D20*'4 Units &amp; ladder'!L20&lt;='6 Time'!C20,"PASS","FAIL"))</f>
        <v/>
      </c>
      <c r="G20" s="5" t="str">
        <f>IF('4 Units &amp; ladder'!N20="","",IF('4 Units &amp; ladder'!N20&lt;='4 Units &amp; ladder'!L20,"PASS","FAIL"))</f>
        <v/>
      </c>
      <c r="H20" s="5"/>
    </row>
    <row r="21" spans="1:8" ht="15" customHeight="1" x14ac:dyDescent="0.25">
      <c r="A21" s="17">
        <f>'1 Vehicle'!A21</f>
        <v>0</v>
      </c>
      <c r="B21" s="5" t="e">
        <f>IF('4 Units &amp; ladder'!#REF!="","",IF(MOD(10000,'4 Units &amp; ladder'!#REF!)=0,"PASS","FAIL"))</f>
        <v>#REF!</v>
      </c>
      <c r="C21" s="5" t="str">
        <f>IF('4 Units &amp; ladder'!M21="","",IF(MOD('4 Units &amp; ladder'!M21,1)=0,"PASS","FAIL"))</f>
        <v/>
      </c>
      <c r="D21" s="5" t="str">
        <f>IF('5 Operating &amp; waterfall'!E21="","",IF(AND('5 Operating &amp; waterfall'!E21&gt;0,'5 Operating &amp; waterfall'!F21&gt;0,'5 Operating &amp; waterfall'!G21&gt;0,'5 Operating &amp; waterfall'!H21&gt;0,'5 Operating &amp; waterfall'!I21&gt;0,'5 Operating &amp; waterfall'!E21+'5 Operating &amp; waterfall'!F21+'5 Operating &amp; waterfall'!G21+'5 Operating &amp; waterfall'!H21+'5 Operating &amp; waterfall'!I21&lt;10000),"PASS","FAIL"))</f>
        <v/>
      </c>
      <c r="E21" s="5" t="str">
        <f>IF('5 Operating &amp; waterfall'!J21="","",IF('5 Operating &amp; waterfall'!J21&gt;0,"PASS","FAIL"))</f>
        <v/>
      </c>
      <c r="F21" s="5" t="str">
        <f>IF('6 Time'!D21="","",IF('6 Time'!D21*'4 Units &amp; ladder'!L21&lt;='6 Time'!C21,"PASS","FAIL"))</f>
        <v/>
      </c>
      <c r="G21" s="5" t="str">
        <f>IF('4 Units &amp; ladder'!N21="","",IF('4 Units &amp; ladder'!N21&lt;='4 Units &amp; ladder'!L21,"PASS","FAIL"))</f>
        <v/>
      </c>
      <c r="H21" s="5"/>
    </row>
    <row r="22" spans="1:8" ht="15" customHeight="1" x14ac:dyDescent="0.25">
      <c r="A22" s="17">
        <f>'1 Vehicle'!A22</f>
        <v>0</v>
      </c>
      <c r="B22" s="5" t="e">
        <f>IF('4 Units &amp; ladder'!#REF!="","",IF(MOD(10000,'4 Units &amp; ladder'!#REF!)=0,"PASS","FAIL"))</f>
        <v>#REF!</v>
      </c>
      <c r="C22" s="5" t="str">
        <f>IF('4 Units &amp; ladder'!M22="","",IF(MOD('4 Units &amp; ladder'!M22,1)=0,"PASS","FAIL"))</f>
        <v/>
      </c>
      <c r="D22" s="5" t="str">
        <f>IF('5 Operating &amp; waterfall'!E22="","",IF(AND('5 Operating &amp; waterfall'!E22&gt;0,'5 Operating &amp; waterfall'!F22&gt;0,'5 Operating &amp; waterfall'!G22&gt;0,'5 Operating &amp; waterfall'!H22&gt;0,'5 Operating &amp; waterfall'!I22&gt;0,'5 Operating &amp; waterfall'!E22+'5 Operating &amp; waterfall'!F22+'5 Operating &amp; waterfall'!G22+'5 Operating &amp; waterfall'!H22+'5 Operating &amp; waterfall'!I22&lt;10000),"PASS","FAIL"))</f>
        <v/>
      </c>
      <c r="E22" s="5" t="str">
        <f>IF('5 Operating &amp; waterfall'!J22="","",IF('5 Operating &amp; waterfall'!J22&gt;0,"PASS","FAIL"))</f>
        <v/>
      </c>
      <c r="F22" s="5" t="str">
        <f>IF('6 Time'!D22="","",IF('6 Time'!D22*'4 Units &amp; ladder'!L22&lt;='6 Time'!C22,"PASS","FAIL"))</f>
        <v/>
      </c>
      <c r="G22" s="5" t="str">
        <f>IF('4 Units &amp; ladder'!N22="","",IF('4 Units &amp; ladder'!N22&lt;='4 Units &amp; ladder'!L22,"PASS","FAIL"))</f>
        <v/>
      </c>
      <c r="H22" s="5"/>
    </row>
    <row r="23" spans="1:8" ht="15" customHeight="1" x14ac:dyDescent="0.25">
      <c r="A23" s="17">
        <f>'1 Vehicle'!A23</f>
        <v>0</v>
      </c>
      <c r="B23" s="5" t="e">
        <f>IF('4 Units &amp; ladder'!#REF!="","",IF(MOD(10000,'4 Units &amp; ladder'!#REF!)=0,"PASS","FAIL"))</f>
        <v>#REF!</v>
      </c>
      <c r="C23" s="5" t="str">
        <f>IF('4 Units &amp; ladder'!M23="","",IF(MOD('4 Units &amp; ladder'!M23,1)=0,"PASS","FAIL"))</f>
        <v/>
      </c>
      <c r="D23" s="5" t="str">
        <f>IF('5 Operating &amp; waterfall'!E23="","",IF(AND('5 Operating &amp; waterfall'!E23&gt;0,'5 Operating &amp; waterfall'!F23&gt;0,'5 Operating &amp; waterfall'!G23&gt;0,'5 Operating &amp; waterfall'!H23&gt;0,'5 Operating &amp; waterfall'!I23&gt;0,'5 Operating &amp; waterfall'!E23+'5 Operating &amp; waterfall'!F23+'5 Operating &amp; waterfall'!G23+'5 Operating &amp; waterfall'!H23+'5 Operating &amp; waterfall'!I23&lt;10000),"PASS","FAIL"))</f>
        <v/>
      </c>
      <c r="E23" s="5" t="str">
        <f>IF('5 Operating &amp; waterfall'!J23="","",IF('5 Operating &amp; waterfall'!J23&gt;0,"PASS","FAIL"))</f>
        <v/>
      </c>
      <c r="F23" s="5" t="str">
        <f>IF('6 Time'!D23="","",IF('6 Time'!D23*'4 Units &amp; ladder'!L23&lt;='6 Time'!C23,"PASS","FAIL"))</f>
        <v/>
      </c>
      <c r="G23" s="5" t="str">
        <f>IF('4 Units &amp; ladder'!N23="","",IF('4 Units &amp; ladder'!N23&lt;='4 Units &amp; ladder'!L23,"PASS","FAIL"))</f>
        <v/>
      </c>
      <c r="H23" s="5"/>
    </row>
    <row r="24" spans="1:8" ht="15" customHeight="1" x14ac:dyDescent="0.25">
      <c r="A24" s="17">
        <f>'1 Vehicle'!A24</f>
        <v>0</v>
      </c>
      <c r="B24" s="5" t="e">
        <f>IF('4 Units &amp; ladder'!#REF!="","",IF(MOD(10000,'4 Units &amp; ladder'!#REF!)=0,"PASS","FAIL"))</f>
        <v>#REF!</v>
      </c>
      <c r="C24" s="5" t="str">
        <f>IF('4 Units &amp; ladder'!M24="","",IF(MOD('4 Units &amp; ladder'!M24,1)=0,"PASS","FAIL"))</f>
        <v/>
      </c>
      <c r="D24" s="5" t="str">
        <f>IF('5 Operating &amp; waterfall'!E24="","",IF(AND('5 Operating &amp; waterfall'!E24&gt;0,'5 Operating &amp; waterfall'!F24&gt;0,'5 Operating &amp; waterfall'!G24&gt;0,'5 Operating &amp; waterfall'!H24&gt;0,'5 Operating &amp; waterfall'!I24&gt;0,'5 Operating &amp; waterfall'!E24+'5 Operating &amp; waterfall'!F24+'5 Operating &amp; waterfall'!G24+'5 Operating &amp; waterfall'!H24+'5 Operating &amp; waterfall'!I24&lt;10000),"PASS","FAIL"))</f>
        <v/>
      </c>
      <c r="E24" s="5" t="str">
        <f>IF('5 Operating &amp; waterfall'!J24="","",IF('5 Operating &amp; waterfall'!J24&gt;0,"PASS","FAIL"))</f>
        <v/>
      </c>
      <c r="F24" s="5" t="str">
        <f>IF('6 Time'!D24="","",IF('6 Time'!D24*'4 Units &amp; ladder'!L24&lt;='6 Time'!C24,"PASS","FAIL"))</f>
        <v/>
      </c>
      <c r="G24" s="5" t="str">
        <f>IF('4 Units &amp; ladder'!N24="","",IF('4 Units &amp; ladder'!N24&lt;='4 Units &amp; ladder'!L24,"PASS","FAIL"))</f>
        <v/>
      </c>
      <c r="H24" s="5"/>
    </row>
    <row r="25" spans="1:8" ht="15" customHeight="1" x14ac:dyDescent="0.25">
      <c r="A25" s="17">
        <f>'1 Vehicle'!A25</f>
        <v>0</v>
      </c>
      <c r="B25" s="5" t="e">
        <f>IF('4 Units &amp; ladder'!#REF!="","",IF(MOD(10000,'4 Units &amp; ladder'!#REF!)=0,"PASS","FAIL"))</f>
        <v>#REF!</v>
      </c>
      <c r="C25" s="5" t="str">
        <f>IF('4 Units &amp; ladder'!M25="","",IF(MOD('4 Units &amp; ladder'!M25,1)=0,"PASS","FAIL"))</f>
        <v/>
      </c>
      <c r="D25" s="5" t="str">
        <f>IF('5 Operating &amp; waterfall'!E25="","",IF(AND('5 Operating &amp; waterfall'!E25&gt;0,'5 Operating &amp; waterfall'!F25&gt;0,'5 Operating &amp; waterfall'!G25&gt;0,'5 Operating &amp; waterfall'!H25&gt;0,'5 Operating &amp; waterfall'!I25&gt;0,'5 Operating &amp; waterfall'!E25+'5 Operating &amp; waterfall'!F25+'5 Operating &amp; waterfall'!G25+'5 Operating &amp; waterfall'!H25+'5 Operating &amp; waterfall'!I25&lt;10000),"PASS","FAIL"))</f>
        <v/>
      </c>
      <c r="E25" s="5" t="str">
        <f>IF('5 Operating &amp; waterfall'!J25="","",IF('5 Operating &amp; waterfall'!J25&gt;0,"PASS","FAIL"))</f>
        <v/>
      </c>
      <c r="F25" s="5" t="str">
        <f>IF('6 Time'!D25="","",IF('6 Time'!D25*'4 Units &amp; ladder'!L25&lt;='6 Time'!C25,"PASS","FAIL"))</f>
        <v/>
      </c>
      <c r="G25" s="5" t="str">
        <f>IF('4 Units &amp; ladder'!N25="","",IF('4 Units &amp; ladder'!N25&lt;='4 Units &amp; ladder'!L25,"PASS","FAIL"))</f>
        <v/>
      </c>
      <c r="H25" s="5"/>
    </row>
    <row r="27" spans="1:8" ht="15" customHeight="1" x14ac:dyDescent="0.25">
      <c r="A27" s="4" t="s">
        <v>235</v>
      </c>
    </row>
    <row r="28" spans="1:8" ht="27.75" customHeight="1" x14ac:dyDescent="0.25">
      <c r="A28" s="4" t="s">
        <v>228</v>
      </c>
      <c r="B28" s="24" t="s">
        <v>236</v>
      </c>
      <c r="C28" s="24"/>
      <c r="D28" s="24"/>
      <c r="E28" s="24"/>
      <c r="F28" s="24"/>
      <c r="G28" s="24"/>
      <c r="H28" s="24"/>
    </row>
    <row r="29" spans="1:8" ht="27.75" customHeight="1" x14ac:dyDescent="0.25">
      <c r="A29" s="4" t="s">
        <v>229</v>
      </c>
      <c r="B29" s="24" t="s">
        <v>237</v>
      </c>
      <c r="C29" s="24"/>
      <c r="D29" s="24"/>
      <c r="E29" s="24"/>
      <c r="F29" s="24"/>
      <c r="G29" s="24"/>
      <c r="H29" s="24"/>
    </row>
    <row r="30" spans="1:8" ht="27.75" customHeight="1" x14ac:dyDescent="0.25">
      <c r="A30" s="4" t="s">
        <v>230</v>
      </c>
      <c r="B30" s="24" t="s">
        <v>238</v>
      </c>
      <c r="C30" s="24"/>
      <c r="D30" s="24"/>
      <c r="E30" s="24"/>
      <c r="F30" s="24"/>
      <c r="G30" s="24"/>
      <c r="H30" s="24"/>
    </row>
    <row r="31" spans="1:8" ht="27.75" customHeight="1" x14ac:dyDescent="0.25">
      <c r="A31" s="4" t="s">
        <v>231</v>
      </c>
      <c r="B31" s="24" t="s">
        <v>239</v>
      </c>
      <c r="C31" s="24"/>
      <c r="D31" s="24"/>
      <c r="E31" s="24"/>
      <c r="F31" s="24"/>
      <c r="G31" s="24"/>
      <c r="H31" s="24"/>
    </row>
    <row r="32" spans="1:8" ht="27.75" customHeight="1" x14ac:dyDescent="0.25">
      <c r="A32" s="4" t="s">
        <v>232</v>
      </c>
      <c r="B32" s="24" t="s">
        <v>240</v>
      </c>
      <c r="C32" s="24"/>
      <c r="D32" s="24"/>
      <c r="E32" s="24"/>
      <c r="F32" s="24"/>
      <c r="G32" s="24"/>
      <c r="H32" s="24"/>
    </row>
    <row r="33" spans="1:8" ht="27.75" customHeight="1" x14ac:dyDescent="0.25">
      <c r="A33" s="4" t="s">
        <v>233</v>
      </c>
      <c r="B33" s="24" t="s">
        <v>241</v>
      </c>
      <c r="C33" s="24"/>
      <c r="D33" s="24"/>
      <c r="E33" s="24"/>
      <c r="F33" s="24"/>
      <c r="G33" s="24"/>
      <c r="H33" s="24"/>
    </row>
  </sheetData>
  <mergeCells count="7">
    <mergeCell ref="B32:H32"/>
    <mergeCell ref="B33:H33"/>
    <mergeCell ref="A2:H2"/>
    <mergeCell ref="B28:H28"/>
    <mergeCell ref="B29:H29"/>
    <mergeCell ref="B30:H30"/>
    <mergeCell ref="B31:H31"/>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00000"/>
  </sheetPr>
  <dimension ref="A1:F25"/>
  <sheetViews>
    <sheetView zoomScaleNormal="100" workbookViewId="0">
      <pane xSplit="1" ySplit="4" topLeftCell="B5" activePane="bottomRight" state="frozen"/>
      <selection pane="topRight" activeCell="B1" sqref="B1"/>
      <selection pane="bottomLeft" activeCell="A5" sqref="A5"/>
      <selection pane="bottomRight"/>
    </sheetView>
  </sheetViews>
  <sheetFormatPr defaultColWidth="8.7109375" defaultRowHeight="15" x14ac:dyDescent="0.25"/>
  <cols>
    <col min="1" max="1" width="20" customWidth="1"/>
    <col min="2" max="2" width="10" customWidth="1"/>
    <col min="3" max="3" width="26" customWidth="1"/>
    <col min="4" max="4" width="22" customWidth="1"/>
    <col min="5" max="5" width="18" customWidth="1"/>
    <col min="6" max="6" width="60" customWidth="1"/>
  </cols>
  <sheetData>
    <row r="1" spans="1:6" ht="19.5" customHeight="1" x14ac:dyDescent="0.3">
      <c r="A1" s="2" t="s">
        <v>242</v>
      </c>
    </row>
    <row r="2" spans="1:6" ht="31.5" customHeight="1" x14ac:dyDescent="0.25">
      <c r="A2" s="23" t="s">
        <v>243</v>
      </c>
      <c r="B2" s="23"/>
      <c r="C2" s="23"/>
      <c r="D2" s="23"/>
      <c r="E2" s="23"/>
      <c r="F2" s="23"/>
    </row>
    <row r="4" spans="1:6" ht="42" customHeight="1" x14ac:dyDescent="0.25">
      <c r="A4" s="6" t="s">
        <v>244</v>
      </c>
      <c r="B4" s="6" t="s">
        <v>245</v>
      </c>
      <c r="C4" s="6" t="s">
        <v>246</v>
      </c>
      <c r="D4" s="6" t="s">
        <v>61</v>
      </c>
      <c r="E4" s="6" t="s">
        <v>247</v>
      </c>
      <c r="F4" s="6" t="s">
        <v>248</v>
      </c>
    </row>
    <row r="5" spans="1:6" ht="23.25" customHeight="1" x14ac:dyDescent="0.25">
      <c r="A5" s="18" t="s">
        <v>249</v>
      </c>
      <c r="B5" s="18" t="s">
        <v>250</v>
      </c>
      <c r="C5" s="18" t="s">
        <v>251</v>
      </c>
      <c r="D5" s="18" t="s">
        <v>252</v>
      </c>
      <c r="E5" s="18" t="s">
        <v>253</v>
      </c>
      <c r="F5" s="18" t="s">
        <v>254</v>
      </c>
    </row>
    <row r="6" spans="1:6" ht="23.25" customHeight="1" x14ac:dyDescent="0.25">
      <c r="A6" s="18" t="s">
        <v>255</v>
      </c>
      <c r="B6" s="18" t="s">
        <v>256</v>
      </c>
      <c r="C6" s="18" t="s">
        <v>257</v>
      </c>
      <c r="D6" s="18" t="s">
        <v>258</v>
      </c>
      <c r="E6" s="18" t="s">
        <v>259</v>
      </c>
      <c r="F6" s="18" t="s">
        <v>260</v>
      </c>
    </row>
    <row r="7" spans="1:6" ht="23.25" customHeight="1" x14ac:dyDescent="0.25">
      <c r="A7" s="18" t="s">
        <v>261</v>
      </c>
      <c r="B7" s="18" t="s">
        <v>262</v>
      </c>
      <c r="C7" s="18" t="s">
        <v>263</v>
      </c>
      <c r="D7" s="18" t="s">
        <v>264</v>
      </c>
      <c r="E7" s="18" t="s">
        <v>265</v>
      </c>
      <c r="F7" s="18" t="s">
        <v>266</v>
      </c>
    </row>
    <row r="8" spans="1:6" ht="15" customHeight="1" x14ac:dyDescent="0.25">
      <c r="A8" s="8"/>
      <c r="B8" s="8"/>
      <c r="C8" s="8"/>
      <c r="D8" s="8"/>
      <c r="E8" s="8"/>
      <c r="F8" s="8"/>
    </row>
    <row r="9" spans="1:6" ht="33.75" customHeight="1" x14ac:dyDescent="0.25">
      <c r="A9" s="25" t="s">
        <v>267</v>
      </c>
      <c r="B9" s="25"/>
      <c r="C9" s="25"/>
      <c r="D9" s="25"/>
      <c r="E9" s="25"/>
      <c r="F9" s="25"/>
    </row>
    <row r="10" spans="1:6" ht="15" customHeight="1" x14ac:dyDescent="0.25">
      <c r="A10" s="8"/>
      <c r="B10" s="8"/>
      <c r="C10" s="8"/>
      <c r="D10" s="8"/>
      <c r="E10" s="8"/>
      <c r="F10" s="8"/>
    </row>
    <row r="11" spans="1:6" ht="33.75" customHeight="1" x14ac:dyDescent="0.25">
      <c r="A11" s="25" t="s">
        <v>268</v>
      </c>
      <c r="B11" s="25"/>
      <c r="C11" s="25"/>
      <c r="D11" s="25"/>
      <c r="E11" s="25"/>
      <c r="F11" s="25"/>
    </row>
    <row r="12" spans="1:6" ht="15" customHeight="1" x14ac:dyDescent="0.25">
      <c r="A12" s="8"/>
      <c r="B12" s="8"/>
      <c r="C12" s="8"/>
      <c r="D12" s="8"/>
      <c r="E12" s="8"/>
      <c r="F12" s="8"/>
    </row>
    <row r="13" spans="1:6" ht="15" customHeight="1" x14ac:dyDescent="0.25">
      <c r="A13" s="8"/>
      <c r="B13" s="8"/>
      <c r="C13" s="8"/>
      <c r="D13" s="8"/>
      <c r="E13" s="8"/>
      <c r="F13" s="8"/>
    </row>
    <row r="14" spans="1:6" ht="15" customHeight="1" x14ac:dyDescent="0.25">
      <c r="A14" s="8"/>
      <c r="B14" s="8"/>
      <c r="C14" s="8"/>
      <c r="D14" s="8"/>
      <c r="E14" s="8"/>
      <c r="F14" s="8"/>
    </row>
    <row r="15" spans="1:6" ht="15" customHeight="1" x14ac:dyDescent="0.25">
      <c r="A15" s="8"/>
      <c r="B15" s="8"/>
      <c r="C15" s="8"/>
      <c r="D15" s="8"/>
      <c r="E15" s="8"/>
      <c r="F15" s="8"/>
    </row>
    <row r="16" spans="1:6" ht="15" customHeight="1" x14ac:dyDescent="0.25">
      <c r="A16" s="8"/>
      <c r="B16" s="8"/>
      <c r="C16" s="8"/>
      <c r="D16" s="8"/>
      <c r="E16" s="8"/>
      <c r="F16" s="8"/>
    </row>
    <row r="17" spans="1:6" ht="15" customHeight="1" x14ac:dyDescent="0.25">
      <c r="A17" s="8"/>
      <c r="B17" s="8"/>
      <c r="C17" s="8"/>
      <c r="D17" s="8"/>
      <c r="E17" s="8"/>
      <c r="F17" s="8"/>
    </row>
    <row r="18" spans="1:6" ht="15" customHeight="1" x14ac:dyDescent="0.25">
      <c r="A18" s="8"/>
      <c r="B18" s="8"/>
      <c r="C18" s="8"/>
      <c r="D18" s="8"/>
      <c r="E18" s="8"/>
      <c r="F18" s="8"/>
    </row>
    <row r="19" spans="1:6" ht="15" customHeight="1" x14ac:dyDescent="0.25">
      <c r="A19" s="8"/>
      <c r="B19" s="8"/>
      <c r="C19" s="8"/>
      <c r="D19" s="8"/>
      <c r="E19" s="8"/>
      <c r="F19" s="8"/>
    </row>
    <row r="20" spans="1:6" ht="15" customHeight="1" x14ac:dyDescent="0.25">
      <c r="A20" s="8"/>
      <c r="B20" s="8"/>
      <c r="C20" s="8"/>
      <c r="D20" s="8"/>
      <c r="E20" s="8"/>
      <c r="F20" s="8"/>
    </row>
    <row r="21" spans="1:6" ht="15" customHeight="1" x14ac:dyDescent="0.25">
      <c r="A21" s="8"/>
      <c r="B21" s="8"/>
      <c r="C21" s="8"/>
      <c r="D21" s="8"/>
      <c r="E21" s="8"/>
      <c r="F21" s="8"/>
    </row>
    <row r="22" spans="1:6" ht="15" customHeight="1" x14ac:dyDescent="0.25">
      <c r="A22" s="8"/>
      <c r="B22" s="8"/>
      <c r="C22" s="8"/>
      <c r="D22" s="8"/>
      <c r="E22" s="8"/>
      <c r="F22" s="8"/>
    </row>
    <row r="23" spans="1:6" ht="15" customHeight="1" x14ac:dyDescent="0.25">
      <c r="A23" s="8"/>
      <c r="B23" s="8"/>
      <c r="C23" s="8"/>
      <c r="D23" s="8"/>
      <c r="E23" s="8"/>
      <c r="F23" s="8"/>
    </row>
    <row r="24" spans="1:6" ht="15" customHeight="1" x14ac:dyDescent="0.25">
      <c r="A24" s="8"/>
      <c r="B24" s="8"/>
      <c r="C24" s="8"/>
      <c r="D24" s="8"/>
      <c r="E24" s="8"/>
      <c r="F24" s="8"/>
    </row>
    <row r="25" spans="1:6" ht="15" customHeight="1" x14ac:dyDescent="0.25">
      <c r="A25" s="8"/>
      <c r="B25" s="8"/>
      <c r="C25" s="8"/>
      <c r="D25" s="8"/>
      <c r="E25" s="8"/>
      <c r="F25" s="8"/>
    </row>
  </sheetData>
  <mergeCells count="3">
    <mergeCell ref="A2:F2"/>
    <mergeCell ref="A9:F9"/>
    <mergeCell ref="A11:F11"/>
  </mergeCells>
  <pageMargins left="0.75" right="0.75" top="1" bottom="1" header="0.511811023622047" footer="0.511811023622047"/>
  <pageSetup paperSize="9" orientation="portrait" horizontalDpi="300" verticalDpi="300"/>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061DE"/>
  </sheetPr>
  <dimension ref="A1:E39"/>
  <sheetViews>
    <sheetView zoomScaleNormal="100" workbookViewId="0">
      <pane xSplit="1" ySplit="4" topLeftCell="B5" activePane="bottomRight" state="frozen"/>
      <selection pane="topRight" activeCell="B1" sqref="B1"/>
      <selection pane="bottomLeft" activeCell="A5" sqref="A5"/>
      <selection pane="bottomRight"/>
    </sheetView>
  </sheetViews>
  <sheetFormatPr defaultColWidth="8.7109375" defaultRowHeight="15" x14ac:dyDescent="0.25"/>
  <cols>
    <col min="1" max="1" width="20" customWidth="1"/>
    <col min="2" max="2" width="24" customWidth="1"/>
    <col min="3" max="3" width="40" customWidth="1"/>
    <col min="4" max="4" width="26" customWidth="1"/>
    <col min="5" max="5" width="14" customWidth="1"/>
  </cols>
  <sheetData>
    <row r="1" spans="1:5" ht="19.5" customHeight="1" x14ac:dyDescent="0.3">
      <c r="A1" s="2" t="s">
        <v>269</v>
      </c>
    </row>
    <row r="2" spans="1:5" ht="31.5" customHeight="1" x14ac:dyDescent="0.25">
      <c r="A2" s="23" t="s">
        <v>270</v>
      </c>
      <c r="B2" s="23"/>
      <c r="C2" s="23"/>
      <c r="D2" s="23"/>
      <c r="E2" s="23"/>
    </row>
    <row r="4" spans="1:5" ht="42" customHeight="1" x14ac:dyDescent="0.25">
      <c r="A4" s="6" t="s">
        <v>271</v>
      </c>
      <c r="B4" s="6" t="s">
        <v>272</v>
      </c>
      <c r="C4" s="6" t="s">
        <v>273</v>
      </c>
      <c r="D4" s="6" t="s">
        <v>274</v>
      </c>
      <c r="E4" s="6" t="s">
        <v>275</v>
      </c>
    </row>
    <row r="5" spans="1:5" ht="15" customHeight="1" x14ac:dyDescent="0.25">
      <c r="A5" s="19" t="s">
        <v>276</v>
      </c>
      <c r="B5" s="19" t="s">
        <v>29</v>
      </c>
      <c r="C5" s="20" t="s">
        <v>277</v>
      </c>
      <c r="D5" s="20" t="s">
        <v>278</v>
      </c>
      <c r="E5" s="20" t="s">
        <v>279</v>
      </c>
    </row>
    <row r="6" spans="1:5" ht="15" customHeight="1" x14ac:dyDescent="0.25">
      <c r="A6" s="21" t="s">
        <v>276</v>
      </c>
      <c r="B6" s="21" t="s">
        <v>30</v>
      </c>
      <c r="C6" s="22" t="s">
        <v>277</v>
      </c>
      <c r="D6" s="22" t="s">
        <v>280</v>
      </c>
      <c r="E6" s="22" t="s">
        <v>281</v>
      </c>
    </row>
    <row r="7" spans="1:5" ht="15" customHeight="1" x14ac:dyDescent="0.25">
      <c r="A7" s="19" t="s">
        <v>276</v>
      </c>
      <c r="B7" s="19" t="s">
        <v>282</v>
      </c>
      <c r="C7" s="20" t="s">
        <v>277</v>
      </c>
      <c r="D7" s="20" t="s">
        <v>283</v>
      </c>
      <c r="E7" s="20" t="s">
        <v>281</v>
      </c>
    </row>
    <row r="8" spans="1:5" ht="15" customHeight="1" x14ac:dyDescent="0.25">
      <c r="A8" s="21" t="s">
        <v>276</v>
      </c>
      <c r="B8" s="21" t="s">
        <v>34</v>
      </c>
      <c r="C8" s="22" t="s">
        <v>277</v>
      </c>
      <c r="D8" s="22" t="s">
        <v>284</v>
      </c>
      <c r="E8" s="22" t="s">
        <v>281</v>
      </c>
    </row>
    <row r="9" spans="1:5" ht="15" customHeight="1" x14ac:dyDescent="0.25">
      <c r="A9" s="19" t="s">
        <v>276</v>
      </c>
      <c r="B9" s="19" t="s">
        <v>31</v>
      </c>
      <c r="C9" s="20" t="s">
        <v>285</v>
      </c>
      <c r="D9" s="20" t="s">
        <v>286</v>
      </c>
      <c r="E9" s="20" t="s">
        <v>287</v>
      </c>
    </row>
    <row r="10" spans="1:5" ht="15" customHeight="1" x14ac:dyDescent="0.25">
      <c r="A10" s="21" t="s">
        <v>276</v>
      </c>
      <c r="B10" s="21" t="s">
        <v>38</v>
      </c>
      <c r="C10" s="22" t="s">
        <v>285</v>
      </c>
      <c r="D10" s="22" t="s">
        <v>288</v>
      </c>
      <c r="E10" s="22" t="s">
        <v>289</v>
      </c>
    </row>
    <row r="11" spans="1:5" ht="15" customHeight="1" x14ac:dyDescent="0.25">
      <c r="A11" s="19" t="s">
        <v>276</v>
      </c>
      <c r="B11" s="19" t="s">
        <v>39</v>
      </c>
      <c r="C11" s="20" t="s">
        <v>290</v>
      </c>
      <c r="D11" s="20" t="s">
        <v>291</v>
      </c>
      <c r="E11" s="20" t="s">
        <v>281</v>
      </c>
    </row>
    <row r="12" spans="1:5" ht="15" customHeight="1" x14ac:dyDescent="0.25">
      <c r="A12" s="21" t="s">
        <v>292</v>
      </c>
      <c r="B12" s="21" t="s">
        <v>59</v>
      </c>
      <c r="C12" s="22" t="s">
        <v>293</v>
      </c>
      <c r="D12" s="22" t="s">
        <v>294</v>
      </c>
      <c r="E12" s="22" t="s">
        <v>295</v>
      </c>
    </row>
    <row r="13" spans="1:5" ht="15" customHeight="1" x14ac:dyDescent="0.25">
      <c r="A13" s="19" t="s">
        <v>292</v>
      </c>
      <c r="B13" s="19" t="s">
        <v>60</v>
      </c>
      <c r="C13" s="20" t="s">
        <v>293</v>
      </c>
      <c r="D13" s="20" t="s">
        <v>296</v>
      </c>
      <c r="E13" s="20" t="s">
        <v>281</v>
      </c>
    </row>
    <row r="14" spans="1:5" ht="15" customHeight="1" x14ac:dyDescent="0.25">
      <c r="A14" s="21" t="s">
        <v>292</v>
      </c>
      <c r="B14" s="21" t="s">
        <v>61</v>
      </c>
      <c r="C14" s="22" t="s">
        <v>293</v>
      </c>
      <c r="D14" s="22" t="s">
        <v>297</v>
      </c>
      <c r="E14" s="22" t="s">
        <v>298</v>
      </c>
    </row>
    <row r="15" spans="1:5" ht="15" customHeight="1" x14ac:dyDescent="0.25">
      <c r="A15" s="19" t="s">
        <v>292</v>
      </c>
      <c r="B15" s="19" t="s">
        <v>63</v>
      </c>
      <c r="C15" s="20" t="s">
        <v>299</v>
      </c>
      <c r="D15" s="20" t="s">
        <v>300</v>
      </c>
      <c r="E15" s="20" t="s">
        <v>301</v>
      </c>
    </row>
    <row r="16" spans="1:5" ht="15" customHeight="1" x14ac:dyDescent="0.25">
      <c r="A16" s="21" t="s">
        <v>292</v>
      </c>
      <c r="B16" s="21" t="s">
        <v>64</v>
      </c>
      <c r="C16" s="22" t="s">
        <v>293</v>
      </c>
      <c r="D16" s="22" t="s">
        <v>302</v>
      </c>
      <c r="E16" s="22" t="s">
        <v>303</v>
      </c>
    </row>
    <row r="17" spans="1:5" ht="15" customHeight="1" x14ac:dyDescent="0.25">
      <c r="A17" s="19" t="s">
        <v>292</v>
      </c>
      <c r="B17" s="19" t="s">
        <v>65</v>
      </c>
      <c r="C17" s="20" t="s">
        <v>277</v>
      </c>
      <c r="D17" s="20" t="s">
        <v>304</v>
      </c>
      <c r="E17" s="20" t="s">
        <v>281</v>
      </c>
    </row>
    <row r="18" spans="1:5" ht="15" customHeight="1" x14ac:dyDescent="0.25">
      <c r="A18" s="21" t="s">
        <v>292</v>
      </c>
      <c r="B18" s="21" t="s">
        <v>38</v>
      </c>
      <c r="C18" s="22" t="s">
        <v>293</v>
      </c>
      <c r="D18" s="22" t="s">
        <v>305</v>
      </c>
      <c r="E18" s="22" t="s">
        <v>306</v>
      </c>
    </row>
    <row r="19" spans="1:5" ht="15" customHeight="1" x14ac:dyDescent="0.25">
      <c r="A19" s="19" t="s">
        <v>292</v>
      </c>
      <c r="B19" s="19" t="s">
        <v>67</v>
      </c>
      <c r="C19" s="20" t="s">
        <v>293</v>
      </c>
      <c r="D19" s="20" t="s">
        <v>307</v>
      </c>
      <c r="E19" s="20" t="s">
        <v>308</v>
      </c>
    </row>
    <row r="20" spans="1:5" ht="15" customHeight="1" x14ac:dyDescent="0.25">
      <c r="A20" s="21" t="s">
        <v>292</v>
      </c>
      <c r="B20" s="21" t="s">
        <v>68</v>
      </c>
      <c r="C20" s="22" t="s">
        <v>293</v>
      </c>
      <c r="D20" s="22" t="s">
        <v>309</v>
      </c>
      <c r="E20" s="22" t="s">
        <v>281</v>
      </c>
    </row>
    <row r="21" spans="1:5" ht="15" customHeight="1" x14ac:dyDescent="0.25">
      <c r="A21" s="19" t="s">
        <v>310</v>
      </c>
      <c r="B21" s="19" t="s">
        <v>311</v>
      </c>
      <c r="C21" s="20" t="s">
        <v>277</v>
      </c>
      <c r="D21" s="20" t="s">
        <v>312</v>
      </c>
      <c r="E21" s="20" t="s">
        <v>281</v>
      </c>
    </row>
    <row r="22" spans="1:5" ht="15" customHeight="1" x14ac:dyDescent="0.25">
      <c r="A22" s="21" t="s">
        <v>310</v>
      </c>
      <c r="B22" s="21" t="s">
        <v>313</v>
      </c>
      <c r="C22" s="22" t="s">
        <v>277</v>
      </c>
      <c r="D22" s="22" t="s">
        <v>314</v>
      </c>
      <c r="E22" s="22" t="s">
        <v>281</v>
      </c>
    </row>
    <row r="23" spans="1:5" ht="15" customHeight="1" x14ac:dyDescent="0.25">
      <c r="A23" s="19" t="s">
        <v>310</v>
      </c>
      <c r="B23" s="19" t="s">
        <v>315</v>
      </c>
      <c r="C23" s="20" t="s">
        <v>277</v>
      </c>
      <c r="D23" s="20" t="s">
        <v>316</v>
      </c>
      <c r="E23" s="20" t="s">
        <v>281</v>
      </c>
    </row>
    <row r="24" spans="1:5" ht="15" customHeight="1" x14ac:dyDescent="0.25">
      <c r="A24" s="21" t="s">
        <v>317</v>
      </c>
      <c r="B24" s="21" t="s">
        <v>318</v>
      </c>
      <c r="C24" s="22" t="s">
        <v>277</v>
      </c>
      <c r="D24" s="22" t="s">
        <v>319</v>
      </c>
      <c r="E24" s="22" t="s">
        <v>281</v>
      </c>
    </row>
    <row r="25" spans="1:5" ht="15" customHeight="1" x14ac:dyDescent="0.25">
      <c r="A25" s="19" t="s">
        <v>317</v>
      </c>
      <c r="B25" s="19" t="s">
        <v>103</v>
      </c>
      <c r="C25" s="20" t="s">
        <v>277</v>
      </c>
      <c r="D25" s="20" t="s">
        <v>320</v>
      </c>
      <c r="E25" s="20" t="s">
        <v>321</v>
      </c>
    </row>
    <row r="26" spans="1:5" ht="15" customHeight="1" x14ac:dyDescent="0.25">
      <c r="A26" s="21" t="s">
        <v>317</v>
      </c>
      <c r="B26" s="21" t="s">
        <v>322</v>
      </c>
      <c r="C26" s="22" t="s">
        <v>277</v>
      </c>
      <c r="D26" s="22" t="s">
        <v>323</v>
      </c>
      <c r="E26" s="22" t="s">
        <v>281</v>
      </c>
    </row>
    <row r="27" spans="1:5" ht="15" customHeight="1" x14ac:dyDescent="0.25">
      <c r="A27" s="19" t="s">
        <v>317</v>
      </c>
      <c r="B27" s="19" t="s">
        <v>105</v>
      </c>
      <c r="C27" s="20" t="s">
        <v>277</v>
      </c>
      <c r="D27" s="20" t="s">
        <v>324</v>
      </c>
      <c r="E27" s="20" t="s">
        <v>281</v>
      </c>
    </row>
    <row r="28" spans="1:5" ht="15" customHeight="1" x14ac:dyDescent="0.25">
      <c r="A28" s="21" t="s">
        <v>317</v>
      </c>
      <c r="B28" s="21" t="s">
        <v>325</v>
      </c>
      <c r="C28" s="22" t="s">
        <v>277</v>
      </c>
      <c r="D28" s="22" t="s">
        <v>326</v>
      </c>
      <c r="E28" s="22" t="s">
        <v>281</v>
      </c>
    </row>
    <row r="29" spans="1:5" ht="15" customHeight="1" x14ac:dyDescent="0.25">
      <c r="A29" s="19" t="s">
        <v>327</v>
      </c>
      <c r="B29" s="19" t="s">
        <v>328</v>
      </c>
      <c r="C29" s="20" t="s">
        <v>277</v>
      </c>
      <c r="D29" s="20" t="s">
        <v>329</v>
      </c>
      <c r="E29" s="20" t="s">
        <v>281</v>
      </c>
    </row>
    <row r="30" spans="1:5" ht="15" customHeight="1" x14ac:dyDescent="0.25">
      <c r="A30" s="21" t="s">
        <v>327</v>
      </c>
      <c r="B30" s="21" t="s">
        <v>330</v>
      </c>
      <c r="C30" s="22" t="s">
        <v>277</v>
      </c>
      <c r="D30" s="22" t="s">
        <v>331</v>
      </c>
      <c r="E30" s="22" t="s">
        <v>281</v>
      </c>
    </row>
    <row r="31" spans="1:5" ht="15" customHeight="1" x14ac:dyDescent="0.25">
      <c r="A31" s="19" t="s">
        <v>327</v>
      </c>
      <c r="B31" s="19" t="s">
        <v>332</v>
      </c>
      <c r="C31" s="20" t="s">
        <v>277</v>
      </c>
      <c r="D31" s="20" t="s">
        <v>333</v>
      </c>
      <c r="E31" s="20" t="s">
        <v>281</v>
      </c>
    </row>
    <row r="32" spans="1:5" ht="15" customHeight="1" x14ac:dyDescent="0.25">
      <c r="A32" s="21" t="s">
        <v>327</v>
      </c>
      <c r="B32" s="21" t="s">
        <v>334</v>
      </c>
      <c r="C32" s="22" t="s">
        <v>293</v>
      </c>
      <c r="D32" s="22" t="s">
        <v>335</v>
      </c>
      <c r="E32" s="22" t="s">
        <v>336</v>
      </c>
    </row>
    <row r="33" spans="1:5" ht="15" customHeight="1" x14ac:dyDescent="0.25">
      <c r="A33" s="19" t="s">
        <v>327</v>
      </c>
      <c r="B33" s="19" t="s">
        <v>121</v>
      </c>
      <c r="C33" s="20" t="s">
        <v>293</v>
      </c>
      <c r="D33" s="20" t="s">
        <v>337</v>
      </c>
      <c r="E33" s="20" t="s">
        <v>281</v>
      </c>
    </row>
    <row r="34" spans="1:5" ht="15" customHeight="1" x14ac:dyDescent="0.25">
      <c r="A34" s="21" t="s">
        <v>338</v>
      </c>
      <c r="B34" s="21" t="s">
        <v>339</v>
      </c>
      <c r="C34" s="22" t="s">
        <v>277</v>
      </c>
      <c r="D34" s="22" t="s">
        <v>340</v>
      </c>
      <c r="E34" s="22" t="s">
        <v>281</v>
      </c>
    </row>
    <row r="35" spans="1:5" ht="15" customHeight="1" x14ac:dyDescent="0.25">
      <c r="A35" s="19" t="s">
        <v>338</v>
      </c>
      <c r="B35" s="19" t="s">
        <v>132</v>
      </c>
      <c r="C35" s="20" t="s">
        <v>341</v>
      </c>
      <c r="D35" s="20" t="s">
        <v>342</v>
      </c>
      <c r="E35" s="20" t="s">
        <v>281</v>
      </c>
    </row>
    <row r="36" spans="1:5" ht="15" customHeight="1" x14ac:dyDescent="0.25">
      <c r="A36" s="21" t="s">
        <v>343</v>
      </c>
      <c r="B36" s="21" t="s">
        <v>344</v>
      </c>
      <c r="C36" s="22" t="s">
        <v>277</v>
      </c>
      <c r="D36" s="22" t="s">
        <v>345</v>
      </c>
      <c r="E36" s="22" t="s">
        <v>346</v>
      </c>
    </row>
    <row r="37" spans="1:5" ht="15" customHeight="1" x14ac:dyDescent="0.25">
      <c r="A37" s="19" t="s">
        <v>347</v>
      </c>
      <c r="B37" s="19" t="s">
        <v>348</v>
      </c>
      <c r="C37" s="20" t="s">
        <v>277</v>
      </c>
      <c r="D37" s="20" t="s">
        <v>349</v>
      </c>
      <c r="E37" s="20" t="s">
        <v>281</v>
      </c>
    </row>
    <row r="38" spans="1:5" ht="15" customHeight="1" x14ac:dyDescent="0.25">
      <c r="A38" s="21" t="s">
        <v>350</v>
      </c>
      <c r="B38" s="21" t="s">
        <v>348</v>
      </c>
      <c r="C38" s="22" t="s">
        <v>277</v>
      </c>
      <c r="D38" s="22" t="s">
        <v>351</v>
      </c>
      <c r="E38" s="22" t="s">
        <v>281</v>
      </c>
    </row>
    <row r="39" spans="1:5" ht="15" customHeight="1" x14ac:dyDescent="0.25">
      <c r="A39" s="19" t="s">
        <v>352</v>
      </c>
      <c r="B39" s="19" t="s">
        <v>348</v>
      </c>
      <c r="C39" s="20" t="s">
        <v>353</v>
      </c>
      <c r="D39" s="20" t="s">
        <v>354</v>
      </c>
      <c r="E39" s="20" t="s">
        <v>281</v>
      </c>
    </row>
  </sheetData>
  <mergeCells count="1">
    <mergeCell ref="A2:E2"/>
  </mergeCells>
  <pageMargins left="0.75" right="0.75" top="1" bottom="1"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README</vt:lpstr>
      <vt:lpstr>1 Vehicle</vt:lpstr>
      <vt:lpstr>2 Property</vt:lpstr>
      <vt:lpstr>3 Capital stack</vt:lpstr>
      <vt:lpstr>4 Units &amp; ladder</vt:lpstr>
      <vt:lpstr>5 Operating &amp; waterfall</vt:lpstr>
      <vt:lpstr>6 Time</vt:lpstr>
      <vt:lpstr>7 Governance</vt:lpstr>
      <vt:lpstr>8 Programme</vt:lpstr>
      <vt:lpstr>9 Risk disclosure</vt:lpstr>
      <vt:lpstr>10 Plates</vt:lpstr>
      <vt:lpstr>VALIDATION</vt:lpstr>
      <vt:lpstr>RETIRING</vt:lpstr>
      <vt:lpstr>FIELD 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Nikhil Deshpande</cp:lastModifiedBy>
  <cp:revision>0</cp:revision>
  <dcterms:created xsi:type="dcterms:W3CDTF">2026-08-01T07:46:00Z</dcterms:created>
  <dcterms:modified xsi:type="dcterms:W3CDTF">2026-08-04T10:51:25Z</dcterms:modified>
  <dc:language>en-IN</dc:language>
</cp:coreProperties>
</file>