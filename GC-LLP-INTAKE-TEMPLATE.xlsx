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comments13.xml" ContentType="application/vnd.openxmlformats-officedocument.spreadsheetml.comment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8.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12.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1 Vehicle" sheetId="2" state="visible" r:id="rId4"/>
    <sheet name="2 Property" sheetId="3" state="visible" r:id="rId5"/>
    <sheet name="3 Capital stack" sheetId="4" state="visible" r:id="rId6"/>
    <sheet name="4 Units &amp; ladder" sheetId="5" state="visible" r:id="rId7"/>
    <sheet name="5 Operating &amp; waterfall" sheetId="6" state="visible" r:id="rId8"/>
    <sheet name="6 Time" sheetId="7" state="visible" r:id="rId9"/>
    <sheet name="7 Governance" sheetId="8" state="visible" r:id="rId10"/>
    <sheet name="8 Programme" sheetId="9" state="visible" r:id="rId11"/>
    <sheet name="9 Risk disclosure" sheetId="10" state="visible" r:id="rId12"/>
    <sheet name="10 Plates" sheetId="11" state="visible" r:id="rId13"/>
    <sheet name="VALIDATION" sheetId="12" state="visible" r:id="rId14"/>
    <sheet name="RETIRING" sheetId="13" state="visible" r:id="rId15"/>
    <sheet name="FIELD MAP" sheetId="14" state="visible" r:id="rId1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Your short handle, used to join every other tab. Lowercase, no spaces. e.g. slowspace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14</xdr:colOff>
                <xdr:row>4</xdr:row>
                <xdr:rowOff>4</xdr:rowOff>
              </xdr:to>
            </anchor>
          </commentPr>
        </mc:Choice>
        <mc:Fallback/>
      </mc:AlternateContent>
    </comment>
    <comment ref="B4" authorId="0">
      <text>
        <r>
          <rPr>
            <sz val="10"/>
            <rFont val="Arial"/>
            <family val="2"/>
          </rPr>
          <t xml:space="preserve">UFR-0020 vehicle_name. Exactly as incorporated, including 'LLP'.</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C4" authorId="0">
      <text>
        <r>
          <rPr>
            <sz val="10"/>
            <rFont val="Arial"/>
            <family val="2"/>
          </rPr>
          <t xml:space="preserve">The Registrar's identifier. Verify against the MCA register — do not transcribe from a deck.</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D4" authorId="0">
      <text>
        <r>
          <rPr>
            <sz val="10"/>
            <rFont val="Arial"/>
            <family val="2"/>
          </rPr>
          <t xml:space="preserve">UFR-0021 vehicle_form. LLP is the constitutional default (§24a); anything else needs Board approval for the specific property.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E4" authorId="0">
      <text>
        <r>
          <rPr>
            <sz val="10"/>
            <rFont val="Arial"/>
            <family val="2"/>
          </rPr>
          <t xml:space="preserve">ISO date from the certificate of incorporation.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F4" authorId="0">
      <text>
        <r>
          <rPr>
            <sz val="10"/>
            <rFont val="Arial"/>
            <family val="2"/>
          </rPr>
          <t xml:space="preserve">Date of the LLP Agreement. Filed as Form 3 within 30 days — statutory mirror ST-01.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G4" authorId="0">
      <text>
        <r>
          <rPr>
            <sz val="10"/>
            <rFont val="Arial"/>
            <family val="2"/>
          </rPr>
          <t xml:space="preserve">Full address as filed. A change is Form 15 within 30 days.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H4" authorId="0">
      <text>
        <r>
          <rPr>
            <sz val="10"/>
            <rFont val="Arial"/>
            <family val="2"/>
          </rPr>
          <t xml:space="preserve">e.g. RoC Bangalore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I4" authorId="0">
      <text>
        <r>
          <rPr>
            <sz val="10"/>
            <rFont val="Arial"/>
            <family val="2"/>
          </rPr>
          <t xml:space="preserve">Statutory record. Needed before any receipt can issue.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J4" authorId="0">
      <text>
        <r>
          <rPr>
            <sz val="10"/>
            <rFont val="Arial"/>
            <family val="2"/>
          </rPr>
          <t xml:space="preserve">Needed the day the first contractor or salary payment is made, for TDS.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K4" authorId="0">
      <text>
        <r>
          <rPr>
            <sz val="10"/>
            <rFont val="Arial"/>
            <family val="2"/>
          </rPr>
          <t xml:space="preserve">UFR-0027. forming | raising | deployed | stabilised | winding_down | dissolved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 ref="L4" authorId="0">
      <text>
        <r>
          <rPr>
            <sz val="10"/>
            <rFont val="Arial"/>
            <family val="2"/>
          </rPr>
          <t xml:space="preserve">yes/no. Contribution over ₹25 lakh forces it — every GC vehicle so far. Decides whether ITR-5 falls 31 Jul or 31 Oct.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98</xdr:colOff>
                <xdr:row>3</xdr:row>
                <xdr:rowOff>40</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59</xdr:colOff>
                <xdr:row>4</xdr:row>
                <xdr:rowOff>4</xdr:rowOff>
              </xdr:to>
            </anchor>
          </commentPr>
        </mc:Choice>
        <mc:Fallback/>
      </mc:AlternateContent>
    </comment>
    <comment ref="B4" authorId="0">
      <text>
        <r>
          <rPr>
            <sz val="10"/>
            <rFont val="Arial"/>
            <family val="2"/>
          </rPr>
          <t xml:space="preserve">UFR-0060. What it is called on the Collection.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C4" authorId="0">
      <text>
        <r>
          <rPr>
            <sz val="10"/>
            <rFont val="Arial"/>
            <family val="2"/>
          </rPr>
          <t xml:space="preserve">e.g. PDB-01. Becomes the URL slug and the register key. Unique across all properties.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D4" authorId="0">
      <text>
        <r>
          <rPr>
            <sz val="10"/>
            <rFont val="Arial"/>
            <family val="2"/>
          </rPr>
          <t xml:space="preserve">UFR-0063. Town, State — as an investor would say it.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E4" authorId="0">
      <text>
        <r>
          <rPr>
            <sz val="10"/>
            <rFont val="Arial"/>
            <family val="2"/>
          </rPr>
          <t xml:space="preserve">Decimal degrees. Shown on the location surface.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F4" authorId="0">
      <text>
        <r>
          <rPr>
            <sz val="10"/>
            <rFont val="Arial"/>
            <family val="2"/>
          </rPr>
          <t xml:space="preserve">UFR-0064. Survey/khata number. Required — it is what makes ownership checkable.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G4" authorId="0">
      <text>
        <r>
          <rPr>
            <sz val="10"/>
            <rFont val="Arial"/>
            <family val="2"/>
          </rPr>
          <t xml:space="preserve">UFR-0065. As stated on title. e.g. 1.42 acres · dual frontage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H4" authorId="0">
      <text>
        <r>
          <rPr>
            <sz val="10"/>
            <rFont val="Arial"/>
            <family val="2"/>
          </rPr>
          <t xml:space="preserve">Number of lettable units. Drives the revenue model on tab 5.</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I4" authorId="0">
      <text>
        <r>
          <rPr>
            <sz val="10"/>
            <rFont val="Arial"/>
            <family val="2"/>
          </rPr>
          <t xml:space="preserve">UFR-0066. prospecting | pending | acquired | development | stabilised | disposition_pending | exited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J4" authorId="0">
      <text>
        <r>
          <rPr>
            <sz val="10"/>
            <rFont val="Arial"/>
            <family val="2"/>
          </rPr>
          <t xml:space="preserve">UFR-0067. ISO date, or blank if not yet stabilised.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K4" authorId="0">
      <text>
        <r>
          <rPr>
            <sz val="10"/>
            <rFont val="Arial"/>
            <family val="2"/>
          </rPr>
          <t xml:space="preserve">UFR-0068. Environmental and planning commitments, e.g. CRZ compliant · modular assembly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 ref="L4" authorId="0">
      <text>
        <r>
          <rPr>
            <sz val="10"/>
            <rFont val="Arial"/>
            <family val="2"/>
          </rPr>
          <t xml:space="preserve">0–360. The generated plate colour until photography exists. Pick something that suits the place.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39</xdr:colOff>
                <xdr:row>3</xdr:row>
                <xdr:rowOff>40</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73</xdr:colOff>
                <xdr:row>4</xdr:row>
                <xdr:rowOff>4</xdr:rowOff>
              </xdr:to>
            </anchor>
          </commentPr>
        </mc:Choice>
        <mc:Fallback/>
      </mc:AlternateContent>
    </comment>
    <comment ref="B4" authorId="0">
      <text>
        <r>
          <rPr>
            <sz val="10"/>
            <rFont val="Arial"/>
            <family val="2"/>
          </rPr>
          <t xml:space="preserve">Equity. Paid at close.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C4" authorId="0">
      <text>
        <r>
          <rPr>
            <sz val="10"/>
            <rFont val="Arial"/>
            <family val="2"/>
          </rPr>
          <t xml:space="preserve">Equity. Approvals, legal, digital twin.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D4" authorId="0">
      <text>
        <r>
          <rPr>
            <sz val="10"/>
            <rFont val="Arial"/>
            <family val="2"/>
          </rPr>
          <t xml:space="preserve">Debt. Drawn during construction only.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E4" authorId="0">
      <text>
        <r>
          <rPr>
            <sz val="10"/>
            <rFont val="Arial"/>
            <family val="2"/>
          </rPr>
          <t xml:space="preserve">DERIVED = land + formation. The layer the ownership units divide.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F4" authorId="0">
      <text>
        <r>
          <rPr>
            <sz val="10"/>
            <rFont val="Arial"/>
            <family val="2"/>
          </rPr>
          <t xml:space="preserve">DERIVED = equity + facility.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G4" authorId="0">
      <text>
        <r>
          <rPr>
            <sz val="10"/>
            <rFont val="Arial"/>
            <family val="2"/>
          </rPr>
          <t xml:space="preserve">e.g. Interest-only during months 1–18</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H4" authorId="0">
      <text>
        <r>
          <rPr>
            <sz val="10"/>
            <rFont val="Arial"/>
            <family val="2"/>
          </rPr>
          <t xml:space="preserve">Named on the offering and the charge register.</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 ref="I4" authorId="0">
      <text>
        <r>
          <rPr>
            <sz val="10"/>
            <rFont val="Arial"/>
            <family val="2"/>
          </rPr>
          <t xml:space="preserve">e.g. DSCR 1.50x minimum. Drives the covenant-proximity alert.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53</xdr:colOff>
                <xdr:row>3</xdr:row>
                <xdr:rowOff>40</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103</xdr:colOff>
                <xdr:row>4</xdr:row>
                <xdr:rowOff>4</xdr:rowOff>
              </xdr:to>
            </anchor>
          </commentPr>
        </mc:Choice>
        <mc:Fallback/>
      </mc:AlternateContent>
    </comment>
    <comment ref="B4" authorId="0">
      <text>
        <r>
          <rPr>
            <sz val="10"/>
            <rFont val="Arial"/>
            <family val="2"/>
          </rPr>
          <t xml:space="preserve">500 = 5%. Must divide 10000 exactly.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C4" authorId="0">
      <text>
        <r>
          <rPr>
            <sz val="10"/>
            <rFont val="Arial"/>
            <family val="2"/>
          </rPr>
          <t xml:space="preserve">Normally the same as the minimum unit.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D4" authorId="0">
      <text>
        <r>
          <rPr>
            <sz val="10"/>
            <rFont val="Arial"/>
            <family val="2"/>
          </rPr>
          <t xml:space="preserve">5000 = 50%. Above this one partner carries every ordinary resolution alone.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E4" authorId="0">
      <text>
        <r>
          <rPr>
            <sz val="10"/>
            <rFont val="Arial"/>
            <family val="2"/>
          </rPr>
          <t xml:space="preserve">DERIVED = 10000 / minimum unit.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F4" authorId="0">
      <text>
        <r>
          <rPr>
            <sz val="10"/>
            <rFont val="Arial"/>
            <family val="2"/>
          </rPr>
          <t xml:space="preserve">DERIVED = equity layer / units. Must be a whole rupee — see VALIDATION.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G4" authorId="0">
      <text>
        <r>
          <rPr>
            <sz val="10"/>
            <rFont val="Arial"/>
            <family val="2"/>
          </rPr>
          <t xml:space="preserve">How many are taken today. Drives 'x of y units subscribed' and disables tiles above what remains.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H4" authorId="0">
      <text>
        <r>
          <rPr>
            <sz val="10"/>
            <rFont val="Arial"/>
            <family val="2"/>
          </rPr>
          <t xml:space="preserve">Flat, taken on the platform. Does NOT scale with position size. 50000 today.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I4" authorId="0">
      <text>
        <r>
          <rPr>
            <sz val="10"/>
            <rFont val="Arial"/>
            <family val="2"/>
          </rPr>
          <t xml:space="preserve">e.g. 36 months from financial close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118</xdr:colOff>
                <xdr:row>4</xdr:row>
                <xdr:rowOff>4</xdr:rowOff>
              </xdr:to>
            </anchor>
          </commentPr>
        </mc:Choice>
        <mc:Fallback/>
      </mc:AlternateContent>
    </comment>
    <comment ref="B4" authorId="0">
      <text>
        <r>
          <rPr>
            <sz val="10"/>
            <rFont val="Arial"/>
            <family val="2"/>
          </rPr>
          <t xml:space="preserve">Average daily rate. Whole rupees.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C4" authorId="0">
      <text>
        <r>
          <rPr>
            <sz val="10"/>
            <rFont val="Arial"/>
            <family val="2"/>
          </rPr>
          <t xml:space="preserve">5000 = 50.00% blended.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D4" authorId="0">
      <text>
        <r>
          <rPr>
            <sz val="10"/>
            <rFont val="Arial"/>
            <family val="2"/>
          </rPr>
          <t xml:space="preserve">DERIVED = keys × 365 × occupancy × ADR.</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E4" authorId="0">
      <text>
        <r>
          <rPr>
            <sz val="10"/>
            <rFont val="Arial"/>
            <family val="2"/>
          </rPr>
          <t xml:space="preserve">3500 = 35%. Site operations, utilities, staffing.</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F4" authorId="0">
      <text>
        <r>
          <rPr>
            <sz val="10"/>
            <rFont val="Arial"/>
            <family val="2"/>
          </rPr>
          <t xml:space="preserve">1500 = 15%. Platform, technology, demand.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G4" authorId="0">
      <text>
        <r>
          <rPr>
            <sz val="10"/>
            <rFont val="Arial"/>
            <family val="2"/>
          </rPr>
          <t xml:space="preserve">250 = 2.5% OF REVENUE — never a fee on asset value.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H4" authorId="0">
      <text>
        <r>
          <rPr>
            <sz val="10"/>
            <rFont val="Arial"/>
            <family val="2"/>
          </rPr>
          <t xml:space="preserve">250 = 2.5%. CapEx reserve.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I4" authorId="0">
      <text>
        <r>
          <rPr>
            <sz val="10"/>
            <rFont val="Arial"/>
            <family val="2"/>
          </rPr>
          <t xml:space="preserve">The senior claim, stated in order.</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J4" authorId="0">
      <text>
        <r>
          <rPr>
            <sz val="10"/>
            <rFont val="Arial"/>
            <family val="2"/>
          </rPr>
          <t xml:space="preserve">DERIVED = 10000 − the five above. No preferred return, no catch-up, no carry.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K4" authorId="0">
      <text>
        <r>
          <rPr>
            <sz val="10"/>
            <rFont val="Arial"/>
            <family val="2"/>
          </rPr>
          <t xml:space="preserve">The floor stage 6 may not breach. Basis: 6 months non-operational fixed obligations.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 ref="L4" authorId="0">
      <text>
        <r>
          <rPr>
            <sz val="10"/>
            <rFont val="Arial"/>
            <family val="2"/>
          </rPr>
          <t xml:space="preserve">observed | verified | modelled | estimated | forecast | pending</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98</xdr:colOff>
                <xdr:row>3</xdr:row>
                <xdr:rowOff>40</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103</xdr:colOff>
                <xdr:row>4</xdr:row>
                <xdr:rowOff>4</xdr:rowOff>
              </xdr:to>
            </anchor>
          </commentPr>
        </mc:Choice>
        <mc:Fallback/>
      </mc:AlternateContent>
    </comment>
    <comment ref="B4" authorId="0">
      <text>
        <r>
          <rPr>
            <sz val="10"/>
            <rFont val="Arial"/>
            <family val="2"/>
          </rPr>
          <t xml:space="preserve">For the WHOLE vehicle, per year. Never a per-unit figure.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C4" authorId="0">
      <text>
        <r>
          <rPr>
            <sz val="10"/>
            <rFont val="Arial"/>
            <family val="2"/>
          </rPr>
          <t xml:space="preserve">For the whole vehicle, per year.</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D4" authorId="0">
      <text>
        <r>
          <rPr>
            <sz val="10"/>
            <rFont val="Arial"/>
            <family val="2"/>
          </rPr>
          <t xml:space="preserve">DERIVED = floor(pool min × minimum unit bps / 10000).</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E4" authorId="0">
      <text>
        <r>
          <rPr>
            <sz val="10"/>
            <rFont val="Arial"/>
            <family val="2"/>
          </rPr>
          <t xml:space="preserve">Withheld from the pool before division — maintenance and statutory closures.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F4" authorId="0">
      <text>
        <r>
          <rPr>
            <sz val="10"/>
            <rFont val="Arial"/>
            <family val="2"/>
          </rPr>
          <t xml:space="preserve">Vehicle-level rules on when allocation may be drawn. Rules, never individual draws.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G4" authorId="0">
      <text>
        <r>
          <rPr>
            <sz val="10"/>
            <rFont val="Arial"/>
            <family val="2"/>
          </rPr>
          <t xml:space="preserve">ISO date or milestone. Nothing is drawable against an unbuilt asset.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 ref="H4" authorId="0">
      <text>
        <r>
          <rPr>
            <sz val="10"/>
            <rFont val="Arial"/>
            <family val="2"/>
          </rPr>
          <t xml:space="preserve">lapse | roll_over | convert — Decision D-07. Until decided, the expiry notice cannot be written truthfully.</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83</xdr:colOff>
                <xdr:row>3</xdr:row>
                <xdr:rowOff>40</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4</xdr:col>
                <xdr:colOff>14</xdr:colOff>
                <xdr:row>4</xdr:row>
                <xdr:rowOff>4</xdr:rowOff>
              </xdr:to>
            </anchor>
          </commentPr>
        </mc:Choice>
        <mc:Fallback/>
      </mc:AlternateContent>
    </comment>
    <comment ref="B4" authorId="0">
      <text>
        <r>
          <rPr>
            <sz val="10"/>
            <rFont val="Arial"/>
            <family val="2"/>
          </rPr>
          <t xml:space="preserve">5001 means 'more than 50%'. A tie is not approval.</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C4" authorId="0">
      <text>
        <r>
          <rPr>
            <sz val="10"/>
            <rFont val="Arial"/>
            <family val="2"/>
          </rPr>
          <t xml:space="preserve">7600 = 76%. Blocked from above 24%.</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D4" authorId="0">
      <text>
        <r>
          <rPr>
            <sz val="10"/>
            <rFont val="Arial"/>
            <family val="2"/>
          </rPr>
          <t xml:space="preserve">6000 = 60% of total contribution present.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E4" authorId="0">
      <text>
        <r>
          <rPr>
            <sz val="10"/>
            <rFont val="Arial"/>
            <family val="2"/>
          </rPr>
          <t xml:space="preserve">What needs a special resolution. e.g. Disposing of the land, or borrowing beyond ₹6.0 Cr</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F4" authorId="0">
      <text>
        <r>
          <rPr>
            <sz val="10"/>
            <rFont val="Arial"/>
            <family val="2"/>
          </rPr>
          <t xml:space="preserve">e.g. Internal register first; external buyer needs consent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 ref="G4" authorId="0">
      <text>
        <r>
          <rPr>
            <sz val="10"/>
            <rFont val="Arial"/>
            <family val="2"/>
          </rPr>
          <t xml:space="preserve">Names. At least two, one resident in India. Each needs a DSC and annual DIR-3 KYC.</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90</xdr:colOff>
                <xdr:row>3</xdr:row>
                <xdr:rowOff>40</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Repeat for each stage of the same vehicle.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147</xdr:colOff>
                <xdr:row>4</xdr:row>
                <xdr:rowOff>4</xdr:rowOff>
              </xdr:to>
            </anchor>
          </commentPr>
        </mc:Choice>
        <mc:Fallback/>
      </mc:AlternateContent>
    </comment>
    <comment ref="B4" authorId="0">
      <text>
        <r>
          <rPr>
            <sz val="10"/>
            <rFont val="Arial"/>
            <family val="2"/>
          </rPr>
          <t xml:space="preserve">e.g. Jul –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 ref="C4" authorId="0">
      <text>
        <r>
          <rPr>
            <sz val="10"/>
            <rFont val="Arial"/>
            <family val="2"/>
          </rPr>
          <t xml:space="preserve">e.g. Design &amp; Approvals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 ref="D4" authorId="0">
      <text>
        <r>
          <rPr>
            <sz val="10"/>
            <rFont val="Arial"/>
            <family val="2"/>
          </rPr>
          <t xml:space="preserve">e.g. Pre-construction | Debt drawdown begins | Peak deployment | Settlement</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 ref="E4" authorId="0">
      <text>
        <r>
          <rPr>
            <sz val="10"/>
            <rFont val="Arial"/>
            <family val="2"/>
          </rPr>
          <t xml:space="preserve">One sentence. What actually happens.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 ref="F4" authorId="0">
      <text>
        <r>
          <rPr>
            <sz val="10"/>
            <rFont val="Arial"/>
            <family val="2"/>
          </rPr>
          <t xml:space="preserve">yes on exactly one row per LLP.</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127</xdr:colOff>
                <xdr:row>3</xdr:row>
                <xdr:rowOff>40</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Repeat per item.</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29</xdr:colOff>
                <xdr:row>4</xdr:row>
                <xdr:rowOff>4</xdr:rowOff>
              </xdr:to>
            </anchor>
          </commentPr>
        </mc:Choice>
        <mc:Fallback/>
      </mc:AlternateContent>
    </comment>
    <comment ref="B4" authorId="0">
      <text>
        <r>
          <rPr>
            <sz val="10"/>
            <rFont val="Arial"/>
            <family val="2"/>
          </rPr>
          <t xml:space="preserve">Two digits: 01, 02, … Unique and in order per LLP.</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C4" authorId="0">
      <text>
        <r>
          <rPr>
            <sz val="10"/>
            <rFont val="Arial"/>
            <family val="2"/>
          </rPr>
          <t xml:space="preserve">e.g. Development &amp; Construction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D4" authorId="0">
      <text>
        <r>
          <rPr>
            <sz val="10"/>
            <rFont val="Arial"/>
            <family val="2"/>
          </rPr>
          <t xml:space="preserve">Plain statement of the risk.</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E4" authorId="0">
      <text>
        <r>
          <rPr>
            <sz val="10"/>
            <rFont val="Arial"/>
            <family val="2"/>
          </rPr>
          <t xml:space="preserve">What it depends on.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F4" authorId="0">
      <text>
        <r>
          <rPr>
            <sz val="10"/>
            <rFont val="Arial"/>
            <family val="2"/>
          </rPr>
          <t xml:space="preserve">What is not guaranteed.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G4" authorId="0">
      <text>
        <r>
          <rPr>
            <sz val="10"/>
            <rFont val="Arial"/>
            <family val="2"/>
          </rPr>
          <t xml:space="preserve">Optional. e.g. Construction finance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 ref="H4" authorId="0">
      <text>
        <r>
          <rPr>
            <sz val="10"/>
            <rFont val="Arial"/>
            <family val="2"/>
          </rPr>
          <t xml:space="preserve">Read from the record where possible.</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9</xdr:colOff>
                <xdr:row>3</xdr:row>
                <xdr:rowOff>40</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4" authorId="0">
      <text>
        <r>
          <rPr>
            <sz val="10"/>
            <rFont val="Arial"/>
            <family val="2"/>
          </rPr>
          <t xml:space="preserve">Joins to tab 1.</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133</xdr:colOff>
                <xdr:row>4</xdr:row>
                <xdr:rowOff>4</xdr:rowOff>
              </xdr:to>
            </anchor>
          </commentPr>
        </mc:Choice>
        <mc:Fallback/>
      </mc:AlternateContent>
    </comment>
    <comment ref="B4" authorId="0">
      <text>
        <r>
          <rPr>
            <sz val="10"/>
            <rFont val="Arial"/>
            <family val="2"/>
          </rPr>
          <t xml:space="preserve">e.g. F-06. Unique across all plates.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C4" authorId="0">
      <text>
        <r>
          <rPr>
            <sz val="10"/>
            <rFont val="Arial"/>
            <family val="2"/>
          </rPr>
          <t xml:space="preserve">photograph | render | drawing. NO DEFAULT — the kind is the claim.</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D4" authorId="0">
      <text>
        <r>
          <rPr>
            <sz val="10"/>
            <rFont val="Arial"/>
            <family val="2"/>
          </rPr>
          <t xml:space="preserve">What the plate shows and why it matters.</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E4" authorId="0">
      <text>
        <r>
          <rPr>
            <sz val="10"/>
            <rFont val="Arial"/>
            <family val="2"/>
          </rPr>
          <t xml:space="preserve">ISO date. When it was MADE, not when it was uploaded.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F4" authorId="0">
      <text>
        <r>
          <rPr>
            <sz val="10"/>
            <rFont val="Arial"/>
            <family val="2"/>
          </rPr>
          <t xml:space="preserve">Who made it and under what right it is used.</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 ref="G4" authorId="0">
      <text>
        <r>
          <rPr>
            <sz val="10"/>
            <rFont val="Arial"/>
            <family val="2"/>
          </rPr>
          <t xml:space="preserve">Filename you will supply. 2400×3000 (4:5) for gallery, 3200×1800 (16:9) for hero.</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3</xdr:col>
                <xdr:colOff>113</xdr:colOff>
                <xdr:row>3</xdr:row>
                <xdr:rowOff>40</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177</xdr:colOff>
                <xdr:row>4</xdr:row>
                <xdr:rowOff>4</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GC</author>
  </authors>
  <commentList>
    <comment ref="A5" authorId="0">
      <text>
        <r>
          <rPr>
            <sz val="10"/>
            <rFont val="Arial"/>
            <family val="2"/>
          </rPr>
          <t xml:space="preserve">ROW 5 IS THE WORKED EXAMPLE — SlowSpace Coastal LLP, the vehicle already in the codebase. It shows the exact format each column expects. Leave it; add your LLPs from row 6 down.</t>
        </r>
      </text>
      <mc:AlternateContent>
        <mc:Choice Requires="v2">
          <commentPr autoFill="true" autoScale="false" colHidden="false" locked="false" rowHidden="false" textHAlign="justify" textVAlign="top">
            <anchor moveWithCells="false" sizeWithCells="false">
              <xdr:from>
                <xdr:col>0</xdr:col>
                <xdr:colOff>79</xdr:colOff>
                <xdr:row>0</xdr:row>
                <xdr:rowOff>8</xdr:rowOff>
              </xdr:from>
              <xdr:to>
                <xdr:col>2</xdr:col>
                <xdr:colOff>73</xdr:colOff>
                <xdr:row>4</xdr:row>
                <xdr:rowOff>4</xdr:rowOff>
              </xdr:to>
            </anchor>
          </commentPr>
        </mc:Choice>
        <mc:Fallback/>
      </mc:AlternateContent>
    </comment>
  </commentList>
</comments>
</file>

<file path=xl/sharedStrings.xml><?xml version="1.0" encoding="utf-8"?>
<sst xmlns="http://schemas.openxmlformats.org/spreadsheetml/2006/main" count="438" uniqueCount="306">
  <si>
    <t xml:space="preserve">Getaway Collective · LLP Intake Template</t>
  </si>
  <si>
    <t xml:space="preserve">Fill one row per LLP on each tab. Row 5 is the worked example and stays.</t>
  </si>
  <si>
    <t xml:space="preserve">WHAT THIS REPLACES</t>
  </si>
  <si>
    <t xml:space="preserve">Three placeholder properties currently ship in the product: Kyoto House (KYO-01), Swiss Vault (CHE-02) and Oslo Base (NOR-03), in three invented vehicles. They appear on the Collection, the capital register, the gallery, the sitemap and the telemetry board. See the RETIRING tab.</t>
  </si>
  <si>
    <t xml:space="preserve">WHAT IT FEEDS</t>
  </si>
  <si>
    <t xml:space="preserve">Every column names its destination — file, symbol and UFR registry id — on the FIELD MAP tab. Nothing here is decorative: a blank required cell becomes a blank on a public page or a thrown error at load.</t>
  </si>
  <si>
    <t xml:space="preserve">THREE CELL COLOURS</t>
  </si>
  <si>
    <t xml:space="preserve">  Yellow</t>
  </si>
  <si>
    <t xml:space="preserve">You fill it.</t>
  </si>
  <si>
    <t xml:space="preserve">  Grey</t>
  </si>
  <si>
    <t xml:space="preserve">DERIVED — do not type. The application computes it; the column exists so you can check what it will compute.</t>
  </si>
  <si>
    <t xml:space="preserve">  Cream (row 5)</t>
  </si>
  <si>
    <t xml:space="preserve">The worked example: SlowSpace Coastal LLP, already in the codebase. It is the format specimen. Do not delete it.</t>
  </si>
  <si>
    <t xml:space="preserve">THE FOUR GOLDEN RULES</t>
  </si>
  <si>
    <t xml:space="preserve">  1 · Money is exact</t>
  </si>
  <si>
    <t xml:space="preserve">Enter whole rupees, no commas, no symbol, no decimals. 40000000 is ₹4,00,00,000. The application stores money as integers and will not accept a float.</t>
  </si>
  <si>
    <t xml:space="preserve">  2 · Percentages are basis points</t>
  </si>
  <si>
    <t xml:space="preserve">Enter 1000 for 10.00%, 500 for 5.00%. The waterfall and the ownership ladder are both bps.</t>
  </si>
  <si>
    <t xml:space="preserve">  3 · Every forward figure names its confidence</t>
  </si>
  <si>
    <t xml:space="preserve">observed · verified · modelled · estimated · forecast · pending. A figure without one does not render. A management estimate is NOT an appraisal, and the product says which it is.</t>
  </si>
  <si>
    <t xml:space="preserve">  4 · Dates are ISO</t>
  </si>
  <si>
    <t xml:space="preserve">YYYY-MM-DD. Nothing else parses.</t>
  </si>
  <si>
    <t xml:space="preserve">BEFORE YOU SEND IT BACK</t>
  </si>
  <si>
    <t xml:space="preserve">Open the VALIDATION tab. Every row must read PASS. It reproduces the invariants the application enforces at load — units tiling the equity layer, the waterfall closing to 100%, the night pool dividing without inventing nights. A FAIL here is an error that would otherwise surface as a crash or, worse, as a wrong number on a page an investor reads.</t>
  </si>
  <si>
    <t xml:space="preserve">WHAT I STILL CANNOT DO FOR YOU</t>
  </si>
  <si>
    <t xml:space="preserve">Verify that an LLP exists. Every LLPIN, registered office and incorporation date on the Vehicle tab must be checked against the MCA register by someone with access to it — that is launch gate G-03 and Decision D-03, and no amount of template discipline substitutes for it.</t>
  </si>
  <si>
    <t xml:space="preserve">1 · The Vehicle (LLP)</t>
  </si>
  <si>
    <t xml:space="preserve">The entity. Everything on this row is a fact about a registered body corporate and must be verifiable against the MCA register — this is the tab launch gate G-03 audits.</t>
  </si>
  <si>
    <t xml:space="preserve">LLP key</t>
  </si>
  <si>
    <t xml:space="preserve">Registered name</t>
  </si>
  <si>
    <t xml:space="preserve">LLPIN</t>
  </si>
  <si>
    <t xml:space="preserve">Form</t>
  </si>
  <si>
    <t xml:space="preserve">Incorporated</t>
  </si>
  <si>
    <t xml:space="preserve">Agreement dated</t>
  </si>
  <si>
    <t xml:space="preserve">Registered office</t>
  </si>
  <si>
    <t xml:space="preserve">Registrar</t>
  </si>
  <si>
    <t xml:space="preserve">PAN</t>
  </si>
  <si>
    <t xml:space="preserve">TAN</t>
  </si>
  <si>
    <t xml:space="preserve">Lifecycle</t>
  </si>
  <si>
    <t xml:space="preserve">Audited?</t>
  </si>
  <si>
    <t xml:space="preserve">slowspace</t>
  </si>
  <si>
    <t xml:space="preserve">SlowSpace Coastal LLP</t>
  </si>
  <si>
    <t xml:space="preserve">AAC-4471</t>
  </si>
  <si>
    <t xml:space="preserve">llp</t>
  </si>
  <si>
    <t xml:space="preserve">2026-06-12</t>
  </si>
  <si>
    <t xml:space="preserve">2026-06-19</t>
  </si>
  <si>
    <t xml:space="preserve">2nd Floor, Maruthi Arcade, Udupi 576101, Karnataka</t>
  </si>
  <si>
    <t xml:space="preserve">RoC Bangalore</t>
  </si>
  <si>
    <t xml:space="preserve">forming</t>
  </si>
  <si>
    <t xml:space="preserve">yes</t>
  </si>
  <si>
    <t xml:space="preserve">Add rows below 25 if you have more than twenty vehicles; the VALIDATION tab formulas must be extended to match — tell me and I will extend them.</t>
  </si>
  <si>
    <t xml:space="preserve">2 · The Property (Domain I · Space)</t>
  </si>
  <si>
    <t xml:space="preserve">What the LLP owns: land, build, furniture and fittings. One property per vehicle — the constitutional model is one property, one LLP.</t>
  </si>
  <si>
    <t xml:space="preserve">Property name</t>
  </si>
  <si>
    <t xml:space="preserve">Asset code</t>
  </si>
  <si>
    <t xml:space="preserve">Jurisdiction</t>
  </si>
  <si>
    <t xml:space="preserve">Coordinates</t>
  </si>
  <si>
    <t xml:space="preserve">Title reference</t>
  </si>
  <si>
    <t xml:space="preserve">Land area</t>
  </si>
  <si>
    <t xml:space="preserve">Keys</t>
  </si>
  <si>
    <t xml:space="preserve">Stabilised on</t>
  </si>
  <si>
    <t xml:space="preserve">Commitments</t>
  </si>
  <si>
    <t xml:space="preserve">Hue</t>
  </si>
  <si>
    <t xml:space="preserve">SlowSpace Coastal</t>
  </si>
  <si>
    <t xml:space="preserve">PDB-01</t>
  </si>
  <si>
    <t xml:space="preserve">Padubidri, Karnataka</t>
  </si>
  <si>
    <t xml:space="preserve">13.117416°N · 74.765988°E</t>
  </si>
  <si>
    <t xml:space="preserve">1.42 acres · dual frontage</t>
  </si>
  <si>
    <t xml:space="preserve">development</t>
  </si>
  <si>
    <t xml:space="preserve">CRZ compliant · Blue Flag adjacent · modular assembly</t>
  </si>
  <si>
    <t xml:space="preserve">3 · The Capital Stack (Domain III · Capital)</t>
  </si>
  <si>
    <t xml:space="preserve">Whole rupees. No commas, no symbol, no decimals. Equity clears the land and the approvals before a rupee of debt is drawn, so pre-construction risk sits entirely on equity.</t>
  </si>
  <si>
    <t xml:space="preserve">Land (₹)</t>
  </si>
  <si>
    <t xml:space="preserve">Formation (₹)</t>
  </si>
  <si>
    <t xml:space="preserve">Facility (₹)</t>
  </si>
  <si>
    <t xml:space="preserve">Equity layer (₹)</t>
  </si>
  <si>
    <t xml:space="preserve">Project total (₹)</t>
  </si>
  <si>
    <t xml:space="preserve">Moratorium</t>
  </si>
  <si>
    <t xml:space="preserve">Lender</t>
  </si>
  <si>
    <t xml:space="preserve">Covenant</t>
  </si>
  <si>
    <t xml:space="preserve">Interest-only during months 1–18</t>
  </si>
  <si>
    <t xml:space="preserve">DSCR 1.50x minimum</t>
  </si>
  <si>
    <t xml:space="preserve">4 · Ownership Units and the Allocation Ladder</t>
  </si>
  <si>
    <t xml:space="preserve">Basis points: 500 = 5.00%. The minimum unit is also the increment. The ceiling is a GOVERNANCE limit, not a commercial one — above 50% a single partner carries every ordinary resolution alone (§24a), and the register votes for the record only.</t>
  </si>
  <si>
    <t xml:space="preserve">Minimum unit (bps)</t>
  </si>
  <si>
    <t xml:space="preserve">Step (bps)</t>
  </si>
  <si>
    <t xml:space="preserve">Ceiling (bps)</t>
  </si>
  <si>
    <t xml:space="preserve">Units in vehicle</t>
  </si>
  <si>
    <t xml:space="preserve">Unit price (₹)</t>
  </si>
  <si>
    <t xml:space="preserve">Units subscribed</t>
  </si>
  <si>
    <t xml:space="preserve">Deposit (₹)</t>
  </si>
  <si>
    <t xml:space="preserve">Lock-in</t>
  </si>
  <si>
    <t xml:space="preserve">36 months from financial close</t>
  </si>
  <si>
    <t xml:space="preserve">5 · Operating Assumptions and the Six-Stage Waterfall</t>
  </si>
  <si>
    <t xml:space="preserve">The waterfall must close to exactly 100% of gross revenue. Debt service is its OWN stage — folding it inside the investor share shows an investor a number that a quarter of gross leaves before they see it. Stage 6 does not run at all if paying it would take the reserve below its floor.</t>
  </si>
  <si>
    <t xml:space="preserve">ADR (₹)</t>
  </si>
  <si>
    <t xml:space="preserve">Occupancy (bps)</t>
  </si>
  <si>
    <t xml:space="preserve">Gross revenue (₹)</t>
  </si>
  <si>
    <t xml:space="preserve">1 Operator (bps)</t>
  </si>
  <si>
    <t xml:space="preserve">2 Brand (bps)</t>
  </si>
  <si>
    <t xml:space="preserve">3 Admin reserve (bps)</t>
  </si>
  <si>
    <t xml:space="preserve">4 Sinking fund (bps)</t>
  </si>
  <si>
    <t xml:space="preserve">5 Debt service (bps)</t>
  </si>
  <si>
    <t xml:space="preserve">6 To partners (bps)</t>
  </si>
  <si>
    <t xml:space="preserve">Reserve floor (₹)</t>
  </si>
  <si>
    <t xml:space="preserve">Yield confidence</t>
  </si>
  <si>
    <t xml:space="preserve">modelled</t>
  </si>
  <si>
    <t xml:space="preserve">6 · Entitlement (Domain II · Time)</t>
  </si>
  <si>
    <t xml:space="preserve">Time is ownership, not hospitality: a static yearly allocation multiplied by the stake. The POOL is stated for the whole vehicle and each position takes its FLOOR of it, so the sum of every partner's entitlement can never exceed what the property can deliver.</t>
  </si>
  <si>
    <t xml:space="preserve">Night pool min</t>
  </si>
  <si>
    <t xml:space="preserve">Night pool max</t>
  </si>
  <si>
    <t xml:space="preserve">Min unit gets</t>
  </si>
  <si>
    <t xml:space="preserve">Reserved days</t>
  </si>
  <si>
    <t xml:space="preserve">Blackout rules</t>
  </si>
  <si>
    <t xml:space="preserve">Entitlement begins</t>
  </si>
  <si>
    <t xml:space="preserve">Lapse policy</t>
  </si>
  <si>
    <t xml:space="preserve">Handover, Jan 2028</t>
  </si>
  <si>
    <t xml:space="preserve">7 · Governance (Domain IV · the constitutional layer)</t>
  </si>
  <si>
    <t xml:space="preserve">Voting is contribution-weighted, never per capita. A TIE IS NOT APPROVAL — an ordinary resolution needs MORE than half, so an uncast vote has a real consequence.</t>
  </si>
  <si>
    <t xml:space="preserve">Ordinary (bps)</t>
  </si>
  <si>
    <t xml:space="preserve">Special (bps)</t>
  </si>
  <si>
    <t xml:space="preserve">Quorum (bps)</t>
  </si>
  <si>
    <t xml:space="preserve">Reserved matters</t>
  </si>
  <si>
    <t xml:space="preserve">Transfer rule</t>
  </si>
  <si>
    <t xml:space="preserve">Designated partners</t>
  </si>
  <si>
    <t xml:space="preserve">Disposing of the land, or borrowing beyond ₹6.0 Cr</t>
  </si>
  <si>
    <t xml:space="preserve">Internal register first; external buyer needs consent</t>
  </si>
  <si>
    <t xml:space="preserve">8 · Programme — many rows per LLP</t>
  </si>
  <si>
    <t xml:space="preserve">Design to handover. One row per stage, in order. Shown to investors on the offering and tracked in the console; a delay here becomes a notice, not a surprise.</t>
  </si>
  <si>
    <t xml:space="preserve">Window</t>
  </si>
  <si>
    <t xml:space="preserve">Stage</t>
  </si>
  <si>
    <t xml:space="preserve">Capital state</t>
  </si>
  <si>
    <t xml:space="preserve">Detail</t>
  </si>
  <si>
    <t xml:space="preserve">Current?</t>
  </si>
  <si>
    <t xml:space="preserve">Jul – Oct 2026</t>
  </si>
  <si>
    <t xml:space="preserve">Design &amp; Approvals</t>
  </si>
  <si>
    <t xml:space="preserve">Pre-construction</t>
  </si>
  <si>
    <t xml:space="preserve">CRZ compliance, IDO model locked, hardware/software mapping.</t>
  </si>
  <si>
    <t xml:space="preserve">Nov – Dec 2026</t>
  </si>
  <si>
    <t xml:space="preserve">Construction start</t>
  </si>
  <si>
    <t xml:space="preserve">Debt drawdown begins</t>
  </si>
  <si>
    <t xml:space="preserve">Structural grid hardwired, modular assembly begins.</t>
  </si>
  <si>
    <t xml:space="preserve">no</t>
  </si>
  <si>
    <t xml:space="preserve">Jan – Oct 2027</t>
  </si>
  <si>
    <t xml:space="preserve">Assembly &amp; fit-out</t>
  </si>
  <si>
    <t xml:space="preserve">Peak deployment</t>
  </si>
  <si>
    <t xml:space="preserve">Superstructure, acoustic sealing, unit integration.</t>
  </si>
  <si>
    <t xml:space="preserve">Nov 2027 – Jan 2028</t>
  </si>
  <si>
    <t xml:space="preserve">Handover</t>
  </si>
  <si>
    <t xml:space="preserve">Settlement</t>
  </si>
  <si>
    <t xml:space="preserve">Autonomous systems test, handover, open for occupancy.</t>
  </si>
  <si>
    <t xml:space="preserve">9 · Asset Disclosure — many rows per LLP</t>
  </si>
  <si>
    <t xml:space="preserve">The per-property disclosure an investor must reach the end of before the commitment opens. Measured and specific: facts do the work. Every figure beside an item is READ FROM THE VEHICLE RECORD, never retyped — restating commercial terms in prose is how prose drifts from the instrument it describes.</t>
  </si>
  <si>
    <t xml:space="preserve">No.</t>
  </si>
  <si>
    <t xml:space="preserve">Title</t>
  </si>
  <si>
    <t xml:space="preserve">Paragraph 1</t>
  </si>
  <si>
    <t xml:space="preserve">Paragraph 2</t>
  </si>
  <si>
    <t xml:space="preserve">Paragraph 3</t>
  </si>
  <si>
    <t xml:space="preserve">Fact label</t>
  </si>
  <si>
    <t xml:space="preserve">Fact value</t>
  </si>
  <si>
    <t xml:space="preserve">02</t>
  </si>
  <si>
    <t xml:space="preserve">Development &amp; Construction</t>
  </si>
  <si>
    <t xml:space="preserve">This hospitality asset is currently in its development phase.</t>
  </si>
  <si>
    <t xml:space="preserve">Construction, statutory approvals and commissioning must all be completed before the property begins generating operating income.</t>
  </si>
  <si>
    <t xml:space="preserve">Development projects may be subject to delays, cost increases or programme revisions that affect the timing of operations.</t>
  </si>
  <si>
    <t xml:space="preserve">TOTAL LOSS IS STATED SEPARATELY AND LAST — it is not an item in this list. A numbered item invites a reader to weigh it against its neighbours; that one is not comparable, and standing outside the sequence is how the layout says so. It is already written and applies to every vehicle.</t>
  </si>
  <si>
    <t xml:space="preserve">10 · Plates — many rows per property</t>
  </si>
  <si>
    <t xml:space="preserve">Every plate states WHAT IT IS. A render presented as a photograph is the commonest misrepresentation in this industry, and the kind field has no default for that reason.</t>
  </si>
  <si>
    <t xml:space="preserve">Ref</t>
  </si>
  <si>
    <t xml:space="preserve">Kind</t>
  </si>
  <si>
    <t xml:space="preserve">Caption</t>
  </si>
  <si>
    <t xml:space="preserve">Taken / made on</t>
  </si>
  <si>
    <t xml:space="preserve">Credit / licence</t>
  </si>
  <si>
    <t xml:space="preserve">File</t>
  </si>
  <si>
    <t xml:space="preserve">F-01</t>
  </si>
  <si>
    <t xml:space="preserve">drawing</t>
  </si>
  <si>
    <t xml:space="preserve">Section through the western edge. The wall thickness is the acoustic decision.</t>
  </si>
  <si>
    <t xml:space="preserve">Validation — every row must read PASS</t>
  </si>
  <si>
    <t xml:space="preserve">These reproduce the invariants the application enforces at load. A FAIL here is an error that would otherwise surface as a crash, or — worse — as a wrong number on a page an investor reads.</t>
  </si>
  <si>
    <t xml:space="preserve">Units tile 10000</t>
  </si>
  <si>
    <t xml:space="preserve">Unit price whole ₹</t>
  </si>
  <si>
    <t xml:space="preserve">Stages 1-5 leave room</t>
  </si>
  <si>
    <t xml:space="preserve">Stage 6 &gt; 0</t>
  </si>
  <si>
    <t xml:space="preserve">Nights don't inflate</t>
  </si>
  <si>
    <t xml:space="preserve">Subscribed ≤ units</t>
  </si>
  <si>
    <t xml:space="preserve">What a FAIL means</t>
  </si>
  <si>
    <t xml:space="preserve">WHAT EACH CHECK PROTECTS</t>
  </si>
  <si>
    <t xml:space="preserve">10000 / minimum-unit must be a whole number, or the ladder cannot tile the vehicle.</t>
  </si>
  <si>
    <t xml:space="preserve">The equity layer must divide into whole rupees per unit. A fractional unit price means somebody is short.</t>
  </si>
  <si>
    <t xml:space="preserve">Every entered stage must be positive and the five together must leave room for stage 6. Testing that all SIX sum to 100% would be tautological — stage 6 is the remainder — and the first version of this check was exactly that. It passed a row summing to 109%.</t>
  </si>
  <si>
    <t xml:space="preserve">If stage 6 is zero or negative, partners receive nothing and the offering says otherwise.</t>
  </si>
  <si>
    <t xml:space="preserve">units × floor(pool × unit-bps / 10000) must not exceed the pool, or the vehicle promises nights the property cannot deliver.</t>
  </si>
  <si>
    <t xml:space="preserve">Units subscribed cannot exceed units issued.</t>
  </si>
  <si>
    <t xml:space="preserve">What this replaces</t>
  </si>
  <si>
    <t xml:space="preserve">The three placeholder properties currently shipping, and every surface they appear on. When your rows land, these are deleted — not hidden.</t>
  </si>
  <si>
    <t xml:space="preserve">Property</t>
  </si>
  <si>
    <t xml:space="preserve">Code</t>
  </si>
  <si>
    <t xml:space="preserve">Vehicle (invented)</t>
  </si>
  <si>
    <t xml:space="preserve">Valuation shown</t>
  </si>
  <si>
    <t xml:space="preserve">Appears on</t>
  </si>
  <si>
    <t xml:space="preserve">Kyoto House</t>
  </si>
  <si>
    <t xml:space="preserve">KYO-01</t>
  </si>
  <si>
    <t xml:space="preserve">Coastal Collection SPV I</t>
  </si>
  <si>
    <t xml:space="preserve">Kyoto, Japan</t>
  </si>
  <si>
    <t xml:space="preserve">₹12,40,00,000</t>
  </si>
  <si>
    <t xml:space="preserve">/collection · /collection/kyoto-house (+5 sub-pages) · /capital/properties · /admin/telemetry · gallery plate F-03 · sitemap</t>
  </si>
  <si>
    <t xml:space="preserve">Swiss Vault</t>
  </si>
  <si>
    <t xml:space="preserve">CHE-02</t>
  </si>
  <si>
    <t xml:space="preserve">Alpine Collection SPV II</t>
  </si>
  <si>
    <t xml:space="preserve">Valais, Switzerland</t>
  </si>
  <si>
    <t xml:space="preserve">₹18,65,00,000</t>
  </si>
  <si>
    <t xml:space="preserve">/collection · /collection/swiss-vault (+5) · /capital/properties · /admin/telemetry · gallery plate F-04 · sitemap</t>
  </si>
  <si>
    <t xml:space="preserve">Oslo Base</t>
  </si>
  <si>
    <t xml:space="preserve">NOR-03</t>
  </si>
  <si>
    <t xml:space="preserve">Nordic Collection SPV I</t>
  </si>
  <si>
    <t xml:space="preserve">Vestland, Norway</t>
  </si>
  <si>
    <t xml:space="preserve">₹9,82,00,000</t>
  </si>
  <si>
    <t xml:space="preserve">/collection · /collection/oslo-base (+5) · /capital/properties · /admin/telemetry · gallery plate F-05 · sitemap</t>
  </si>
  <si>
    <t xml:space="preserve">SlowSpace Coastal LLP (PDB-01, Padubidri) is REAL in the model and stays — it is the worked vehicle the whole commitment flow runs on. Its LLPIN and registered office still need verifying against the MCA register (gate G-03).</t>
  </si>
  <si>
    <t xml:space="preserve">The three above are invented. They carry invented valuations from invented valuers, and two of them claim to be stabilised assets acquired years ago. Nothing about them is true, and they are indexable today.</t>
  </si>
  <si>
    <t xml:space="preserve">Where every column lands</t>
  </si>
  <si>
    <t xml:space="preserve">The import is mechanical because each column has exactly one destination. This is the tab to check if you want to know what a cell actually changes.</t>
  </si>
  <si>
    <t xml:space="preserve">Tab</t>
  </si>
  <si>
    <t xml:space="preserve">Column</t>
  </si>
  <si>
    <t xml:space="preserve">Destination in code</t>
  </si>
  <si>
    <t xml:space="preserve">Symbol</t>
  </si>
  <si>
    <t xml:space="preserve">Registry id</t>
  </si>
  <si>
    <t xml:space="preserve">1 Vehicle</t>
  </si>
  <si>
    <t xml:space="preserve">app/_assemblies/slowspace.ts</t>
  </si>
  <si>
    <t xml:space="preserve">LLP.name</t>
  </si>
  <si>
    <t xml:space="preserve">UFR-0020</t>
  </si>
  <si>
    <t xml:space="preserve">LLP.llpin</t>
  </si>
  <si>
    <t xml:space="preserve">—</t>
  </si>
  <si>
    <t xml:space="preserve">Incorporated / Agreement</t>
  </si>
  <si>
    <t xml:space="preserve">LLP.incorporated / agreementDated</t>
  </si>
  <si>
    <t xml:space="preserve">LLP.office</t>
  </si>
  <si>
    <t xml:space="preserve">constants/ufr.ts enum</t>
  </si>
  <si>
    <t xml:space="preserve">vehicle_form</t>
  </si>
  <si>
    <t xml:space="preserve">UFR-0021</t>
  </si>
  <si>
    <t xml:space="preserve">lifecycle_state</t>
  </si>
  <si>
    <t xml:space="preserve">UFR-0027</t>
  </si>
  <si>
    <t xml:space="preserve">constants/vehicle-domain.ts</t>
  </si>
  <si>
    <t xml:space="preserve">STATUTORY_MIRROR ST-04/ST-05</t>
  </si>
  <si>
    <t xml:space="preserve">2 Property</t>
  </si>
  <si>
    <t xml:space="preserve">app/_assemblies/data.ts</t>
  </si>
  <si>
    <t xml:space="preserve">Property.ufr0060</t>
  </si>
  <si>
    <t xml:space="preserve">UFR-0060</t>
  </si>
  <si>
    <t xml:space="preserve">Property.assetId</t>
  </si>
  <si>
    <t xml:space="preserve">Property.ufr0063</t>
  </si>
  <si>
    <t xml:space="preserve">UFR-0063</t>
  </si>
  <si>
    <t xml:space="preserve">constants/ufr.ts</t>
  </si>
  <si>
    <t xml:space="preserve">title_reference</t>
  </si>
  <si>
    <t xml:space="preserve">UFR-0064</t>
  </si>
  <si>
    <t xml:space="preserve">Property.ufr0065</t>
  </si>
  <si>
    <t xml:space="preserve">UFR-0065</t>
  </si>
  <si>
    <t xml:space="preserve">SITE.keys</t>
  </si>
  <si>
    <t xml:space="preserve">Property.ufr0066</t>
  </si>
  <si>
    <t xml:space="preserve">UFR-0066</t>
  </si>
  <si>
    <t xml:space="preserve">Property.ufr0068</t>
  </si>
  <si>
    <t xml:space="preserve">UFR-0068</t>
  </si>
  <si>
    <t xml:space="preserve">Property.hue</t>
  </si>
  <si>
    <t xml:space="preserve">3 Capital stack</t>
  </si>
  <si>
    <t xml:space="preserve">Land / Formation / Facility</t>
  </si>
  <si>
    <t xml:space="preserve">STACK</t>
  </si>
  <si>
    <t xml:space="preserve">Equity layer</t>
  </si>
  <si>
    <t xml:space="preserve">EQUITY (derived)</t>
  </si>
  <si>
    <t xml:space="preserve">Project total</t>
  </si>
  <si>
    <t xml:space="preserve">PROJECT (derived)</t>
  </si>
  <si>
    <t xml:space="preserve">4 Units &amp; ladder</t>
  </si>
  <si>
    <t xml:space="preserve">Minimum unit / Step / Ceiling</t>
  </si>
  <si>
    <t xml:space="preserve">ALLOCATION</t>
  </si>
  <si>
    <t xml:space="preserve">UNITS_IN_VEHICLE</t>
  </si>
  <si>
    <t xml:space="preserve">UFR-0023</t>
  </si>
  <si>
    <t xml:space="preserve">Unit price</t>
  </si>
  <si>
    <t xml:space="preserve">MIN_UNIT (derived)</t>
  </si>
  <si>
    <t xml:space="preserve">SUBSCRIBED_UNITS</t>
  </si>
  <si>
    <t xml:space="preserve">Deposit</t>
  </si>
  <si>
    <t xml:space="preserve">DEPOSIT.amount</t>
  </si>
  <si>
    <t xml:space="preserve">5 Operating</t>
  </si>
  <si>
    <t xml:space="preserve">ADR / Occupancy</t>
  </si>
  <si>
    <t xml:space="preserve">OPERATING</t>
  </si>
  <si>
    <t xml:space="preserve">Gross revenue</t>
  </si>
  <si>
    <t xml:space="preserve">GROSS_REVENUE (derived)</t>
  </si>
  <si>
    <t xml:space="preserve">Waterfall bps</t>
  </si>
  <si>
    <t xml:space="preserve">WATERFALL_SLOWSPACE</t>
  </si>
  <si>
    <t xml:space="preserve">Reserve floor</t>
  </si>
  <si>
    <t xml:space="preserve">RESERVE.floor</t>
  </si>
  <si>
    <t xml:space="preserve">UFR-0024</t>
  </si>
  <si>
    <t xml:space="preserve">Property.yield.conf</t>
  </si>
  <si>
    <t xml:space="preserve">6 Time</t>
  </si>
  <si>
    <t xml:space="preserve">Night pool</t>
  </si>
  <si>
    <t xml:space="preserve">NIGHT_POOL</t>
  </si>
  <si>
    <t xml:space="preserve">content/notifications.ts</t>
  </si>
  <si>
    <t xml:space="preserve">N-13 (blocked on D-07)</t>
  </si>
  <si>
    <t xml:space="preserve">7 Governance</t>
  </si>
  <si>
    <t xml:space="preserve">Thresholds</t>
  </si>
  <si>
    <t xml:space="preserve">GOVERNANCE</t>
  </si>
  <si>
    <t xml:space="preserve">UFR-0301</t>
  </si>
  <si>
    <t xml:space="preserve">8 Programme</t>
  </si>
  <si>
    <t xml:space="preserve">All columns</t>
  </si>
  <si>
    <t xml:space="preserve">PROGRAMME</t>
  </si>
  <si>
    <t xml:space="preserve">9 Risk disclosure</t>
  </si>
  <si>
    <t xml:space="preserve">RISKS_SLOWSPACE</t>
  </si>
  <si>
    <t xml:space="preserve">10 Plates</t>
  </si>
  <si>
    <t xml:space="preserve">content/gateway.ts</t>
  </si>
  <si>
    <t xml:space="preserve">FRAMES</t>
  </si>
</sst>
</file>

<file path=xl/styles.xml><?xml version="1.0" encoding="utf-8"?>
<styleSheet xmlns="http://schemas.openxmlformats.org/spreadsheetml/2006/main">
  <numFmts count="3">
    <numFmt numFmtId="164" formatCode="General"/>
    <numFmt numFmtId="165" formatCode="#,##0"/>
    <numFmt numFmtId="166" formatCode="#,##0.00"/>
  </numFmts>
  <fonts count="12">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6B6B6B"/>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sz val="9"/>
      <name val="Consolas"/>
      <family val="0"/>
      <charset val="1"/>
    </font>
    <font>
      <sz val="9"/>
      <color rgb="FF6B6B6B"/>
      <name val="Consolas"/>
      <family val="0"/>
      <charset val="1"/>
    </font>
  </fonts>
  <fills count="7">
    <fill>
      <patternFill patternType="none"/>
    </fill>
    <fill>
      <patternFill patternType="gray125"/>
    </fill>
    <fill>
      <patternFill patternType="solid">
        <fgColor rgb="FF0A0A0A"/>
        <bgColor rgb="FF000000"/>
      </patternFill>
    </fill>
    <fill>
      <patternFill patternType="solid">
        <fgColor rgb="FFFFF7E0"/>
        <bgColor rgb="FFF7F7F7"/>
      </patternFill>
    </fill>
    <fill>
      <patternFill patternType="solid">
        <fgColor rgb="FFFFFF00"/>
        <bgColor rgb="FFFFFF00"/>
      </patternFill>
    </fill>
    <fill>
      <patternFill patternType="solid">
        <fgColor rgb="FFEDEDED"/>
        <bgColor rgb="FFF7F7F7"/>
      </patternFill>
    </fill>
    <fill>
      <patternFill patternType="solid">
        <fgColor rgb="FFF7F7F7"/>
        <bgColor rgb="FFFFFFFF"/>
      </patternFill>
    </fill>
  </fills>
  <borders count="2">
    <border diagonalUp="false" diagonalDown="false">
      <left/>
      <right/>
      <top/>
      <bottom/>
      <diagonal/>
    </border>
    <border diagonalUp="false" diagonalDown="false">
      <left/>
      <right/>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10" fillId="4" borderId="1" xfId="0" applyFont="true" applyBorder="true" applyAlignment="true" applyProtection="false">
      <alignment horizontal="general" vertical="top" textRotation="0" wrapText="false" indent="0" shrinkToFit="false"/>
      <protection locked="true" hidden="false"/>
    </xf>
    <xf numFmtId="165"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6"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6" fontId="10" fillId="5"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C6635"/>
      <rgbColor rgb="FF800080"/>
      <rgbColor rgb="FF177F43"/>
      <rgbColor rgb="FFC79F6B"/>
      <rgbColor rgb="FF808080"/>
      <rgbColor rgb="FF9999FF"/>
      <rgbColor rgb="FF993366"/>
      <rgbColor rgb="FFFFF7E0"/>
      <rgbColor rgb="FFEDEDED"/>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F7F7F7"/>
      <rgbColor rgb="FFCCFFCC"/>
      <rgbColor rgb="FFFFFF99"/>
      <rgbColor rgb="FF99CCFF"/>
      <rgbColor rgb="FFFF99CC"/>
      <rgbColor rgb="FFCC99FF"/>
      <rgbColor rgb="FFFFCC99"/>
      <rgbColor rgb="FF2061DE"/>
      <rgbColor rgb="FF33CCCC"/>
      <rgbColor rgb="FF99CC00"/>
      <rgbColor rgb="FFFFCC00"/>
      <rgbColor rgb="FFFF9900"/>
      <rgbColor rgb="FFFF6600"/>
      <rgbColor rgb="FF6B6B6B"/>
      <rgbColor rgb="FF9A9A9A"/>
      <rgbColor rgb="FF003366"/>
      <rgbColor rgb="FF339966"/>
      <rgbColor rgb="FF0C3024"/>
      <rgbColor rgb="FF0A0A0A"/>
      <rgbColor rgb="FFBE4915"/>
      <rgbColor rgb="FF993366"/>
      <rgbColor rgb="FF333399"/>
      <rgbColor rgb="FF56565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1.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0A0A"/>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45.75" hidden="false" customHeight="true" outlineLevel="0" collapsed="false">
      <c r="A4" s="3" t="s">
        <v>2</v>
      </c>
      <c r="B4" s="4" t="s">
        <v>3</v>
      </c>
    </row>
    <row r="5" customFormat="false" ht="45.75" hidden="false" customHeight="true" outlineLevel="0" collapsed="false">
      <c r="A5" s="3" t="s">
        <v>4</v>
      </c>
      <c r="B5" s="4" t="s">
        <v>5</v>
      </c>
    </row>
    <row r="6" customFormat="false" ht="15" hidden="false" customHeight="false" outlineLevel="0" collapsed="false">
      <c r="A6" s="5"/>
      <c r="B6" s="4"/>
    </row>
    <row r="7" customFormat="false" ht="15" hidden="false" customHeight="false" outlineLevel="0" collapsed="false">
      <c r="A7" s="3" t="s">
        <v>6</v>
      </c>
      <c r="B7" s="4"/>
    </row>
    <row r="8" customFormat="false" ht="15" hidden="false" customHeight="false" outlineLevel="0" collapsed="false">
      <c r="A8" s="5" t="s">
        <v>7</v>
      </c>
      <c r="B8" s="4" t="s">
        <v>8</v>
      </c>
    </row>
    <row r="9" customFormat="false" ht="30" hidden="false" customHeight="true" outlineLevel="0" collapsed="false">
      <c r="A9" s="5" t="s">
        <v>9</v>
      </c>
      <c r="B9" s="4" t="s">
        <v>10</v>
      </c>
    </row>
    <row r="10" customFormat="false" ht="30" hidden="false" customHeight="true" outlineLevel="0" collapsed="false">
      <c r="A10" s="5" t="s">
        <v>11</v>
      </c>
      <c r="B10" s="4" t="s">
        <v>12</v>
      </c>
    </row>
    <row r="11" customFormat="false" ht="15" hidden="false" customHeight="false" outlineLevel="0" collapsed="false">
      <c r="A11" s="5"/>
      <c r="B11" s="4"/>
    </row>
    <row r="12" customFormat="false" ht="15" hidden="false" customHeight="false" outlineLevel="0" collapsed="false">
      <c r="A12" s="3" t="s">
        <v>13</v>
      </c>
      <c r="B12" s="4"/>
    </row>
    <row r="13" customFormat="false" ht="30" hidden="false" customHeight="true" outlineLevel="0" collapsed="false">
      <c r="A13" s="5" t="s">
        <v>14</v>
      </c>
      <c r="B13" s="4" t="s">
        <v>15</v>
      </c>
    </row>
    <row r="14" customFormat="false" ht="15" hidden="false" customHeight="false" outlineLevel="0" collapsed="false">
      <c r="A14" s="5" t="s">
        <v>16</v>
      </c>
      <c r="B14" s="4" t="s">
        <v>17</v>
      </c>
    </row>
    <row r="15" customFormat="false" ht="30" hidden="false" customHeight="true" outlineLevel="0" collapsed="false">
      <c r="A15" s="5" t="s">
        <v>18</v>
      </c>
      <c r="B15" s="4" t="s">
        <v>19</v>
      </c>
    </row>
    <row r="16" customFormat="false" ht="15" hidden="false" customHeight="false" outlineLevel="0" collapsed="false">
      <c r="A16" s="5" t="s">
        <v>20</v>
      </c>
      <c r="B16" s="4" t="s">
        <v>21</v>
      </c>
    </row>
    <row r="17" customFormat="false" ht="15" hidden="false" customHeight="false" outlineLevel="0" collapsed="false">
      <c r="A17" s="5"/>
      <c r="B17" s="4"/>
    </row>
    <row r="18" customFormat="false" ht="45.75" hidden="false" customHeight="true" outlineLevel="0" collapsed="false">
      <c r="A18" s="3" t="s">
        <v>22</v>
      </c>
      <c r="B18" s="4" t="s">
        <v>23</v>
      </c>
    </row>
    <row r="19" customFormat="false" ht="15" hidden="false" customHeight="false" outlineLevel="0" collapsed="false">
      <c r="A19" s="5"/>
      <c r="B19" s="4"/>
    </row>
    <row r="20" customFormat="false" ht="45.75" hidden="false" customHeight="true" outlineLevel="0" collapsed="false">
      <c r="A20" s="3" t="s">
        <v>24</v>
      </c>
      <c r="B20" s="4"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61DE"/>
    <pageSetUpPr fitToPage="fals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4"/>
    <col collapsed="false" customWidth="true" hidden="false" outlineLevel="0" max="4" min="4" style="0" width="12"/>
    <col collapsed="false" customWidth="true" hidden="false" outlineLevel="0" max="6" min="5" style="0" width="14"/>
    <col collapsed="false" customWidth="true" hidden="false" outlineLevel="0" max="7" min="7" style="0" width="40"/>
    <col collapsed="false" customWidth="true" hidden="false" outlineLevel="0" max="8" min="8" style="0" width="18"/>
    <col collapsed="false" customWidth="true" hidden="false" outlineLevel="0" max="11" min="9" style="0" width="14"/>
    <col collapsed="false" customWidth="true" hidden="false" outlineLevel="0" max="12" min="12" style="0" width="10"/>
  </cols>
  <sheetData>
    <row r="1" customFormat="false" ht="19.7" hidden="false" customHeight="false" outlineLevel="0" collapsed="false">
      <c r="A1" s="1" t="s">
        <v>26</v>
      </c>
    </row>
    <row r="2" customFormat="false" ht="31.5" hidden="false" customHeight="true" outlineLevel="0" collapsed="false">
      <c r="A2" s="6" t="s">
        <v>27</v>
      </c>
      <c r="B2" s="6"/>
      <c r="C2" s="6"/>
      <c r="D2" s="6"/>
      <c r="E2" s="6"/>
      <c r="F2" s="6"/>
      <c r="G2" s="6"/>
      <c r="H2" s="6"/>
      <c r="I2" s="6"/>
      <c r="J2" s="6"/>
      <c r="K2" s="6"/>
      <c r="L2" s="6"/>
    </row>
    <row r="4" customFormat="false" ht="42" hidden="false" customHeight="true" outlineLevel="0" collapsed="false">
      <c r="A4" s="7" t="s">
        <v>28</v>
      </c>
      <c r="B4" s="7" t="s">
        <v>29</v>
      </c>
      <c r="C4" s="7" t="s">
        <v>30</v>
      </c>
      <c r="D4" s="7" t="s">
        <v>31</v>
      </c>
      <c r="E4" s="7" t="s">
        <v>32</v>
      </c>
      <c r="F4" s="7" t="s">
        <v>33</v>
      </c>
      <c r="G4" s="7" t="s">
        <v>34</v>
      </c>
      <c r="H4" s="7" t="s">
        <v>35</v>
      </c>
      <c r="I4" s="7" t="s">
        <v>36</v>
      </c>
      <c r="J4" s="7" t="s">
        <v>37</v>
      </c>
      <c r="K4" s="7" t="s">
        <v>38</v>
      </c>
      <c r="L4" s="7" t="s">
        <v>39</v>
      </c>
    </row>
    <row r="5" customFormat="false" ht="15" hidden="false" customHeight="false" outlineLevel="0" collapsed="false">
      <c r="A5" s="8" t="s">
        <v>40</v>
      </c>
      <c r="B5" s="8" t="s">
        <v>41</v>
      </c>
      <c r="C5" s="8" t="s">
        <v>42</v>
      </c>
      <c r="D5" s="8" t="s">
        <v>43</v>
      </c>
      <c r="E5" s="8" t="s">
        <v>44</v>
      </c>
      <c r="F5" s="8" t="s">
        <v>45</v>
      </c>
      <c r="G5" s="8" t="s">
        <v>46</v>
      </c>
      <c r="H5" s="8" t="s">
        <v>47</v>
      </c>
      <c r="I5" s="8"/>
      <c r="J5" s="8"/>
      <c r="K5" s="8" t="s">
        <v>48</v>
      </c>
      <c r="L5" s="8" t="s">
        <v>49</v>
      </c>
    </row>
    <row r="6" customFormat="false" ht="15" hidden="false" customHeight="false" outlineLevel="0" collapsed="false">
      <c r="A6" s="9"/>
      <c r="B6" s="9"/>
      <c r="C6" s="9"/>
      <c r="D6" s="9"/>
      <c r="E6" s="9"/>
      <c r="F6" s="9"/>
      <c r="G6" s="9"/>
      <c r="H6" s="9"/>
      <c r="I6" s="9"/>
      <c r="J6" s="9"/>
      <c r="K6" s="9"/>
      <c r="L6" s="9"/>
    </row>
    <row r="7" customFormat="false" ht="15" hidden="false" customHeight="false" outlineLevel="0" collapsed="false">
      <c r="A7" s="9"/>
      <c r="B7" s="9"/>
      <c r="C7" s="9"/>
      <c r="D7" s="9"/>
      <c r="E7" s="9"/>
      <c r="F7" s="9"/>
      <c r="G7" s="9"/>
      <c r="H7" s="9"/>
      <c r="I7" s="9"/>
      <c r="J7" s="9"/>
      <c r="K7" s="9"/>
      <c r="L7" s="9"/>
    </row>
    <row r="8" customFormat="false" ht="15" hidden="false" customHeight="false" outlineLevel="0" collapsed="false">
      <c r="A8" s="9"/>
      <c r="B8" s="9"/>
      <c r="C8" s="9"/>
      <c r="D8" s="9"/>
      <c r="E8" s="9"/>
      <c r="F8" s="9"/>
      <c r="G8" s="9"/>
      <c r="H8" s="9"/>
      <c r="I8" s="9"/>
      <c r="J8" s="9"/>
      <c r="K8" s="9"/>
      <c r="L8" s="9"/>
    </row>
    <row r="9" customFormat="false" ht="15" hidden="false" customHeight="false" outlineLevel="0" collapsed="false">
      <c r="A9" s="9"/>
      <c r="B9" s="9"/>
      <c r="C9" s="9"/>
      <c r="D9" s="9"/>
      <c r="E9" s="9"/>
      <c r="F9" s="9"/>
      <c r="G9" s="9"/>
      <c r="H9" s="9"/>
      <c r="I9" s="9"/>
      <c r="J9" s="9"/>
      <c r="K9" s="9"/>
      <c r="L9" s="9"/>
    </row>
    <row r="10" customFormat="false" ht="15" hidden="false" customHeight="false" outlineLevel="0" collapsed="false">
      <c r="A10" s="9"/>
      <c r="B10" s="9"/>
      <c r="C10" s="9"/>
      <c r="D10" s="9"/>
      <c r="E10" s="9"/>
      <c r="F10" s="9"/>
      <c r="G10" s="9"/>
      <c r="H10" s="9"/>
      <c r="I10" s="9"/>
      <c r="J10" s="9"/>
      <c r="K10" s="9"/>
      <c r="L10" s="9"/>
    </row>
    <row r="11" customFormat="false" ht="15" hidden="false" customHeight="false" outlineLevel="0" collapsed="false">
      <c r="A11" s="9"/>
      <c r="B11" s="9"/>
      <c r="C11" s="9"/>
      <c r="D11" s="9"/>
      <c r="E11" s="9"/>
      <c r="F11" s="9"/>
      <c r="G11" s="9"/>
      <c r="H11" s="9"/>
      <c r="I11" s="9"/>
      <c r="J11" s="9"/>
      <c r="K11" s="9"/>
      <c r="L11" s="9"/>
    </row>
    <row r="12" customFormat="false" ht="15" hidden="false" customHeight="false" outlineLevel="0" collapsed="false">
      <c r="A12" s="9"/>
      <c r="B12" s="9"/>
      <c r="C12" s="9"/>
      <c r="D12" s="9"/>
      <c r="E12" s="9"/>
      <c r="F12" s="9"/>
      <c r="G12" s="9"/>
      <c r="H12" s="9"/>
      <c r="I12" s="9"/>
      <c r="J12" s="9"/>
      <c r="K12" s="9"/>
      <c r="L12" s="9"/>
    </row>
    <row r="13" customFormat="false" ht="15" hidden="false" customHeight="false" outlineLevel="0" collapsed="false">
      <c r="A13" s="9"/>
      <c r="B13" s="9"/>
      <c r="C13" s="9"/>
      <c r="D13" s="9"/>
      <c r="E13" s="9"/>
      <c r="F13" s="9"/>
      <c r="G13" s="9"/>
      <c r="H13" s="9"/>
      <c r="I13" s="9"/>
      <c r="J13" s="9"/>
      <c r="K13" s="9"/>
      <c r="L13" s="9"/>
    </row>
    <row r="14" customFormat="false" ht="15" hidden="false" customHeight="false" outlineLevel="0" collapsed="false">
      <c r="A14" s="9"/>
      <c r="B14" s="9"/>
      <c r="C14" s="9"/>
      <c r="D14" s="9"/>
      <c r="E14" s="9"/>
      <c r="F14" s="9"/>
      <c r="G14" s="9"/>
      <c r="H14" s="9"/>
      <c r="I14" s="9"/>
      <c r="J14" s="9"/>
      <c r="K14" s="9"/>
      <c r="L14" s="9"/>
    </row>
    <row r="15" customFormat="false" ht="15" hidden="false" customHeight="false" outlineLevel="0" collapsed="false">
      <c r="A15" s="9"/>
      <c r="B15" s="9"/>
      <c r="C15" s="9"/>
      <c r="D15" s="9"/>
      <c r="E15" s="9"/>
      <c r="F15" s="9"/>
      <c r="G15" s="9"/>
      <c r="H15" s="9"/>
      <c r="I15" s="9"/>
      <c r="J15" s="9"/>
      <c r="K15" s="9"/>
      <c r="L15" s="9"/>
    </row>
    <row r="16" customFormat="false" ht="15" hidden="false" customHeight="false" outlineLevel="0" collapsed="false">
      <c r="A16" s="9"/>
      <c r="B16" s="9"/>
      <c r="C16" s="9"/>
      <c r="D16" s="9"/>
      <c r="E16" s="9"/>
      <c r="F16" s="9"/>
      <c r="G16" s="9"/>
      <c r="H16" s="9"/>
      <c r="I16" s="9"/>
      <c r="J16" s="9"/>
      <c r="K16" s="9"/>
      <c r="L16" s="9"/>
    </row>
    <row r="17" customFormat="false" ht="15" hidden="false" customHeight="false" outlineLevel="0" collapsed="false">
      <c r="A17" s="9"/>
      <c r="B17" s="9"/>
      <c r="C17" s="9"/>
      <c r="D17" s="9"/>
      <c r="E17" s="9"/>
      <c r="F17" s="9"/>
      <c r="G17" s="9"/>
      <c r="H17" s="9"/>
      <c r="I17" s="9"/>
      <c r="J17" s="9"/>
      <c r="K17" s="9"/>
      <c r="L17" s="9"/>
    </row>
    <row r="18" customFormat="false" ht="15" hidden="false" customHeight="false" outlineLevel="0" collapsed="false">
      <c r="A18" s="9"/>
      <c r="B18" s="9"/>
      <c r="C18" s="9"/>
      <c r="D18" s="9"/>
      <c r="E18" s="9"/>
      <c r="F18" s="9"/>
      <c r="G18" s="9"/>
      <c r="H18" s="9"/>
      <c r="I18" s="9"/>
      <c r="J18" s="9"/>
      <c r="K18" s="9"/>
      <c r="L18" s="9"/>
    </row>
    <row r="19" customFormat="false" ht="15" hidden="false" customHeight="false" outlineLevel="0" collapsed="false">
      <c r="A19" s="9"/>
      <c r="B19" s="9"/>
      <c r="C19" s="9"/>
      <c r="D19" s="9"/>
      <c r="E19" s="9"/>
      <c r="F19" s="9"/>
      <c r="G19" s="9"/>
      <c r="H19" s="9"/>
      <c r="I19" s="9"/>
      <c r="J19" s="9"/>
      <c r="K19" s="9"/>
      <c r="L19" s="9"/>
    </row>
    <row r="20" customFormat="false" ht="15" hidden="false" customHeight="false" outlineLevel="0" collapsed="false">
      <c r="A20" s="9"/>
      <c r="B20" s="9"/>
      <c r="C20" s="9"/>
      <c r="D20" s="9"/>
      <c r="E20" s="9"/>
      <c r="F20" s="9"/>
      <c r="G20" s="9"/>
      <c r="H20" s="9"/>
      <c r="I20" s="9"/>
      <c r="J20" s="9"/>
      <c r="K20" s="9"/>
      <c r="L20" s="9"/>
    </row>
    <row r="21" customFormat="false" ht="15" hidden="false" customHeight="false" outlineLevel="0" collapsed="false">
      <c r="A21" s="9"/>
      <c r="B21" s="9"/>
      <c r="C21" s="9"/>
      <c r="D21" s="9"/>
      <c r="E21" s="9"/>
      <c r="F21" s="9"/>
      <c r="G21" s="9"/>
      <c r="H21" s="9"/>
      <c r="I21" s="9"/>
      <c r="J21" s="9"/>
      <c r="K21" s="9"/>
      <c r="L21" s="9"/>
    </row>
    <row r="22" customFormat="false" ht="15" hidden="false" customHeight="false" outlineLevel="0" collapsed="false">
      <c r="A22" s="9"/>
      <c r="B22" s="9"/>
      <c r="C22" s="9"/>
      <c r="D22" s="9"/>
      <c r="E22" s="9"/>
      <c r="F22" s="9"/>
      <c r="G22" s="9"/>
      <c r="H22" s="9"/>
      <c r="I22" s="9"/>
      <c r="J22" s="9"/>
      <c r="K22" s="9"/>
      <c r="L22" s="9"/>
    </row>
    <row r="23" customFormat="false" ht="15" hidden="false" customHeight="false" outlineLevel="0" collapsed="false">
      <c r="A23" s="9"/>
      <c r="B23" s="9"/>
      <c r="C23" s="9"/>
      <c r="D23" s="9"/>
      <c r="E23" s="9"/>
      <c r="F23" s="9"/>
      <c r="G23" s="9"/>
      <c r="H23" s="9"/>
      <c r="I23" s="9"/>
      <c r="J23" s="9"/>
      <c r="K23" s="9"/>
      <c r="L23" s="9"/>
    </row>
    <row r="24" customFormat="false" ht="15" hidden="false" customHeight="false" outlineLevel="0" collapsed="false">
      <c r="A24" s="9"/>
      <c r="B24" s="9"/>
      <c r="C24" s="9"/>
      <c r="D24" s="9"/>
      <c r="E24" s="9"/>
      <c r="F24" s="9"/>
      <c r="G24" s="9"/>
      <c r="H24" s="9"/>
      <c r="I24" s="9"/>
      <c r="J24" s="9"/>
      <c r="K24" s="9"/>
      <c r="L24" s="9"/>
    </row>
    <row r="25" customFormat="false" ht="15" hidden="false" customHeight="false" outlineLevel="0" collapsed="false">
      <c r="A25" s="9"/>
      <c r="B25" s="9"/>
      <c r="C25" s="9"/>
      <c r="D25" s="9"/>
      <c r="E25" s="9"/>
      <c r="F25" s="9"/>
      <c r="G25" s="9"/>
      <c r="H25" s="9"/>
      <c r="I25" s="9"/>
      <c r="J25" s="9"/>
      <c r="K25" s="9"/>
      <c r="L25" s="9"/>
    </row>
    <row r="27" customFormat="false" ht="30" hidden="false" customHeight="true" outlineLevel="0" collapsed="false">
      <c r="A27" s="6" t="s">
        <v>50</v>
      </c>
      <c r="B27" s="6"/>
      <c r="C27" s="6"/>
      <c r="D27" s="6"/>
      <c r="E27" s="6"/>
      <c r="F27" s="6"/>
      <c r="G27" s="6"/>
      <c r="H27" s="6"/>
      <c r="I27" s="6"/>
      <c r="J27" s="6"/>
      <c r="K27" s="6"/>
      <c r="L27" s="6"/>
    </row>
  </sheetData>
  <mergeCells count="2">
    <mergeCell ref="A2:L2"/>
    <mergeCell ref="A27:L27"/>
  </mergeCells>
  <dataValidations count="3">
    <dataValidation allowBlank="true" error="Not one of the permitted values. The application enforces this enum." errorStyle="stop" errorTitle="Closed value set" operator="between" showDropDown="false" showErrorMessage="false" showInputMessage="false" sqref="D5:D25" type="list">
      <formula1>"llp,spv,fund,trust,syndicate"</formula1>
      <formula2>0</formula2>
    </dataValidation>
    <dataValidation allowBlank="true" error="Not one of the permitted values. The application enforces this enum." errorStyle="stop" errorTitle="Closed value set" operator="between" showDropDown="false" showErrorMessage="false" showInputMessage="false" sqref="K5:K25" type="list">
      <formula1>"forming,raising,deployed,stabilised,winding_down,dissolved"</formula1>
      <formula2>0</formula2>
    </dataValidation>
    <dataValidation allowBlank="true" error="Not one of the permitted values. The application enforces this enum." errorStyle="stop" errorTitle="Closed value set" operator="between" showDropDown="false" showErrorMessage="false" showInputMessage="false" sqref="L5:L2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3024"/>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12"/>
    <col collapsed="false" customWidth="true" hidden="false" outlineLevel="0" max="4" min="4" style="0" width="24"/>
    <col collapsed="false" customWidth="true" hidden="false" outlineLevel="0" max="6" min="5" style="0" width="22"/>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34"/>
    <col collapsed="false" customWidth="true" hidden="false" outlineLevel="0" max="12" min="12" style="0" width="8"/>
  </cols>
  <sheetData>
    <row r="1" customFormat="false" ht="19.7" hidden="false" customHeight="false" outlineLevel="0" collapsed="false">
      <c r="A1" s="1" t="s">
        <v>51</v>
      </c>
    </row>
    <row r="2" customFormat="false" ht="31.5" hidden="false" customHeight="true" outlineLevel="0" collapsed="false">
      <c r="A2" s="6" t="s">
        <v>52</v>
      </c>
      <c r="B2" s="6"/>
      <c r="C2" s="6"/>
      <c r="D2" s="6"/>
      <c r="E2" s="6"/>
      <c r="F2" s="6"/>
      <c r="G2" s="6"/>
      <c r="H2" s="6"/>
      <c r="I2" s="6"/>
      <c r="J2" s="6"/>
      <c r="K2" s="6"/>
      <c r="L2" s="6"/>
    </row>
    <row r="4" customFormat="false" ht="42" hidden="false" customHeight="true" outlineLevel="0" collapsed="false">
      <c r="A4" s="7" t="s">
        <v>28</v>
      </c>
      <c r="B4" s="7" t="s">
        <v>53</v>
      </c>
      <c r="C4" s="7" t="s">
        <v>54</v>
      </c>
      <c r="D4" s="7" t="s">
        <v>55</v>
      </c>
      <c r="E4" s="7" t="s">
        <v>56</v>
      </c>
      <c r="F4" s="7" t="s">
        <v>57</v>
      </c>
      <c r="G4" s="7" t="s">
        <v>58</v>
      </c>
      <c r="H4" s="7" t="s">
        <v>59</v>
      </c>
      <c r="I4" s="7" t="s">
        <v>38</v>
      </c>
      <c r="J4" s="7" t="s">
        <v>60</v>
      </c>
      <c r="K4" s="7" t="s">
        <v>61</v>
      </c>
      <c r="L4" s="7" t="s">
        <v>62</v>
      </c>
    </row>
    <row r="5" customFormat="false" ht="15" hidden="false" customHeight="false" outlineLevel="0" collapsed="false">
      <c r="A5" s="8" t="s">
        <v>40</v>
      </c>
      <c r="B5" s="8" t="s">
        <v>63</v>
      </c>
      <c r="C5" s="8" t="s">
        <v>64</v>
      </c>
      <c r="D5" s="8" t="s">
        <v>65</v>
      </c>
      <c r="E5" s="8" t="s">
        <v>66</v>
      </c>
      <c r="F5" s="8"/>
      <c r="G5" s="8" t="s">
        <v>67</v>
      </c>
      <c r="H5" s="8" t="n">
        <v>12</v>
      </c>
      <c r="I5" s="8" t="s">
        <v>68</v>
      </c>
      <c r="J5" s="8"/>
      <c r="K5" s="8" t="s">
        <v>69</v>
      </c>
      <c r="L5" s="8" t="n">
        <v>198</v>
      </c>
    </row>
    <row r="6" customFormat="false" ht="15" hidden="false" customHeight="false" outlineLevel="0" collapsed="false">
      <c r="A6" s="9"/>
      <c r="B6" s="9"/>
      <c r="C6" s="9"/>
      <c r="D6" s="9"/>
      <c r="E6" s="9"/>
      <c r="F6" s="9"/>
      <c r="G6" s="9"/>
      <c r="H6" s="9"/>
      <c r="I6" s="9"/>
      <c r="J6" s="9"/>
      <c r="K6" s="9"/>
      <c r="L6" s="9"/>
    </row>
    <row r="7" customFormat="false" ht="15" hidden="false" customHeight="false" outlineLevel="0" collapsed="false">
      <c r="A7" s="9"/>
      <c r="B7" s="9"/>
      <c r="C7" s="9"/>
      <c r="D7" s="9"/>
      <c r="E7" s="9"/>
      <c r="F7" s="9"/>
      <c r="G7" s="9"/>
      <c r="H7" s="9"/>
      <c r="I7" s="9"/>
      <c r="J7" s="9"/>
      <c r="K7" s="9"/>
      <c r="L7" s="9"/>
    </row>
    <row r="8" customFormat="false" ht="15" hidden="false" customHeight="false" outlineLevel="0" collapsed="false">
      <c r="A8" s="9"/>
      <c r="B8" s="9"/>
      <c r="C8" s="9"/>
      <c r="D8" s="9"/>
      <c r="E8" s="9"/>
      <c r="F8" s="9"/>
      <c r="G8" s="9"/>
      <c r="H8" s="9"/>
      <c r="I8" s="9"/>
      <c r="J8" s="9"/>
      <c r="K8" s="9"/>
      <c r="L8" s="9"/>
    </row>
    <row r="9" customFormat="false" ht="15" hidden="false" customHeight="false" outlineLevel="0" collapsed="false">
      <c r="A9" s="9"/>
      <c r="B9" s="9"/>
      <c r="C9" s="9"/>
      <c r="D9" s="9"/>
      <c r="E9" s="9"/>
      <c r="F9" s="9"/>
      <c r="G9" s="9"/>
      <c r="H9" s="9"/>
      <c r="I9" s="9"/>
      <c r="J9" s="9"/>
      <c r="K9" s="9"/>
      <c r="L9" s="9"/>
    </row>
    <row r="10" customFormat="false" ht="15" hidden="false" customHeight="false" outlineLevel="0" collapsed="false">
      <c r="A10" s="9"/>
      <c r="B10" s="9"/>
      <c r="C10" s="9"/>
      <c r="D10" s="9"/>
      <c r="E10" s="9"/>
      <c r="F10" s="9"/>
      <c r="G10" s="9"/>
      <c r="H10" s="9"/>
      <c r="I10" s="9"/>
      <c r="J10" s="9"/>
      <c r="K10" s="9"/>
      <c r="L10" s="9"/>
    </row>
    <row r="11" customFormat="false" ht="15" hidden="false" customHeight="false" outlineLevel="0" collapsed="false">
      <c r="A11" s="9"/>
      <c r="B11" s="9"/>
      <c r="C11" s="9"/>
      <c r="D11" s="9"/>
      <c r="E11" s="9"/>
      <c r="F11" s="9"/>
      <c r="G11" s="9"/>
      <c r="H11" s="9"/>
      <c r="I11" s="9"/>
      <c r="J11" s="9"/>
      <c r="K11" s="9"/>
      <c r="L11" s="9"/>
    </row>
    <row r="12" customFormat="false" ht="15" hidden="false" customHeight="false" outlineLevel="0" collapsed="false">
      <c r="A12" s="9"/>
      <c r="B12" s="9"/>
      <c r="C12" s="9"/>
      <c r="D12" s="9"/>
      <c r="E12" s="9"/>
      <c r="F12" s="9"/>
      <c r="G12" s="9"/>
      <c r="H12" s="9"/>
      <c r="I12" s="9"/>
      <c r="J12" s="9"/>
      <c r="K12" s="9"/>
      <c r="L12" s="9"/>
    </row>
    <row r="13" customFormat="false" ht="15" hidden="false" customHeight="false" outlineLevel="0" collapsed="false">
      <c r="A13" s="9"/>
      <c r="B13" s="9"/>
      <c r="C13" s="9"/>
      <c r="D13" s="9"/>
      <c r="E13" s="9"/>
      <c r="F13" s="9"/>
      <c r="G13" s="9"/>
      <c r="H13" s="9"/>
      <c r="I13" s="9"/>
      <c r="J13" s="9"/>
      <c r="K13" s="9"/>
      <c r="L13" s="9"/>
    </row>
    <row r="14" customFormat="false" ht="15" hidden="false" customHeight="false" outlineLevel="0" collapsed="false">
      <c r="A14" s="9"/>
      <c r="B14" s="9"/>
      <c r="C14" s="9"/>
      <c r="D14" s="9"/>
      <c r="E14" s="9"/>
      <c r="F14" s="9"/>
      <c r="G14" s="9"/>
      <c r="H14" s="9"/>
      <c r="I14" s="9"/>
      <c r="J14" s="9"/>
      <c r="K14" s="9"/>
      <c r="L14" s="9"/>
    </row>
    <row r="15" customFormat="false" ht="15" hidden="false" customHeight="false" outlineLevel="0" collapsed="false">
      <c r="A15" s="9"/>
      <c r="B15" s="9"/>
      <c r="C15" s="9"/>
      <c r="D15" s="9"/>
      <c r="E15" s="9"/>
      <c r="F15" s="9"/>
      <c r="G15" s="9"/>
      <c r="H15" s="9"/>
      <c r="I15" s="9"/>
      <c r="J15" s="9"/>
      <c r="K15" s="9"/>
      <c r="L15" s="9"/>
    </row>
    <row r="16" customFormat="false" ht="15" hidden="false" customHeight="false" outlineLevel="0" collapsed="false">
      <c r="A16" s="9"/>
      <c r="B16" s="9"/>
      <c r="C16" s="9"/>
      <c r="D16" s="9"/>
      <c r="E16" s="9"/>
      <c r="F16" s="9"/>
      <c r="G16" s="9"/>
      <c r="H16" s="9"/>
      <c r="I16" s="9"/>
      <c r="J16" s="9"/>
      <c r="K16" s="9"/>
      <c r="L16" s="9"/>
    </row>
    <row r="17" customFormat="false" ht="15" hidden="false" customHeight="false" outlineLevel="0" collapsed="false">
      <c r="A17" s="9"/>
      <c r="B17" s="9"/>
      <c r="C17" s="9"/>
      <c r="D17" s="9"/>
      <c r="E17" s="9"/>
      <c r="F17" s="9"/>
      <c r="G17" s="9"/>
      <c r="H17" s="9"/>
      <c r="I17" s="9"/>
      <c r="J17" s="9"/>
      <c r="K17" s="9"/>
      <c r="L17" s="9"/>
    </row>
    <row r="18" customFormat="false" ht="15" hidden="false" customHeight="false" outlineLevel="0" collapsed="false">
      <c r="A18" s="9"/>
      <c r="B18" s="9"/>
      <c r="C18" s="9"/>
      <c r="D18" s="9"/>
      <c r="E18" s="9"/>
      <c r="F18" s="9"/>
      <c r="G18" s="9"/>
      <c r="H18" s="9"/>
      <c r="I18" s="9"/>
      <c r="J18" s="9"/>
      <c r="K18" s="9"/>
      <c r="L18" s="9"/>
    </row>
    <row r="19" customFormat="false" ht="15" hidden="false" customHeight="false" outlineLevel="0" collapsed="false">
      <c r="A19" s="9"/>
      <c r="B19" s="9"/>
      <c r="C19" s="9"/>
      <c r="D19" s="9"/>
      <c r="E19" s="9"/>
      <c r="F19" s="9"/>
      <c r="G19" s="9"/>
      <c r="H19" s="9"/>
      <c r="I19" s="9"/>
      <c r="J19" s="9"/>
      <c r="K19" s="9"/>
      <c r="L19" s="9"/>
    </row>
    <row r="20" customFormat="false" ht="15" hidden="false" customHeight="false" outlineLevel="0" collapsed="false">
      <c r="A20" s="9"/>
      <c r="B20" s="9"/>
      <c r="C20" s="9"/>
      <c r="D20" s="9"/>
      <c r="E20" s="9"/>
      <c r="F20" s="9"/>
      <c r="G20" s="9"/>
      <c r="H20" s="9"/>
      <c r="I20" s="9"/>
      <c r="J20" s="9"/>
      <c r="K20" s="9"/>
      <c r="L20" s="9"/>
    </row>
    <row r="21" customFormat="false" ht="15" hidden="false" customHeight="false" outlineLevel="0" collapsed="false">
      <c r="A21" s="9"/>
      <c r="B21" s="9"/>
      <c r="C21" s="9"/>
      <c r="D21" s="9"/>
      <c r="E21" s="9"/>
      <c r="F21" s="9"/>
      <c r="G21" s="9"/>
      <c r="H21" s="9"/>
      <c r="I21" s="9"/>
      <c r="J21" s="9"/>
      <c r="K21" s="9"/>
      <c r="L21" s="9"/>
    </row>
    <row r="22" customFormat="false" ht="15" hidden="false" customHeight="false" outlineLevel="0" collapsed="false">
      <c r="A22" s="9"/>
      <c r="B22" s="9"/>
      <c r="C22" s="9"/>
      <c r="D22" s="9"/>
      <c r="E22" s="9"/>
      <c r="F22" s="9"/>
      <c r="G22" s="9"/>
      <c r="H22" s="9"/>
      <c r="I22" s="9"/>
      <c r="J22" s="9"/>
      <c r="K22" s="9"/>
      <c r="L22" s="9"/>
    </row>
    <row r="23" customFormat="false" ht="15" hidden="false" customHeight="false" outlineLevel="0" collapsed="false">
      <c r="A23" s="9"/>
      <c r="B23" s="9"/>
      <c r="C23" s="9"/>
      <c r="D23" s="9"/>
      <c r="E23" s="9"/>
      <c r="F23" s="9"/>
      <c r="G23" s="9"/>
      <c r="H23" s="9"/>
      <c r="I23" s="9"/>
      <c r="J23" s="9"/>
      <c r="K23" s="9"/>
      <c r="L23" s="9"/>
    </row>
    <row r="24" customFormat="false" ht="15" hidden="false" customHeight="false" outlineLevel="0" collapsed="false">
      <c r="A24" s="9"/>
      <c r="B24" s="9"/>
      <c r="C24" s="9"/>
      <c r="D24" s="9"/>
      <c r="E24" s="9"/>
      <c r="F24" s="9"/>
      <c r="G24" s="9"/>
      <c r="H24" s="9"/>
      <c r="I24" s="9"/>
      <c r="J24" s="9"/>
      <c r="K24" s="9"/>
      <c r="L24" s="9"/>
    </row>
    <row r="25" customFormat="false" ht="15" hidden="false" customHeight="false" outlineLevel="0" collapsed="false">
      <c r="A25" s="9"/>
      <c r="B25" s="9"/>
      <c r="C25" s="9"/>
      <c r="D25" s="9"/>
      <c r="E25" s="9"/>
      <c r="F25" s="9"/>
      <c r="G25" s="9"/>
      <c r="H25" s="9"/>
      <c r="I25" s="9"/>
      <c r="J25" s="9"/>
      <c r="K25" s="9"/>
      <c r="L25" s="9"/>
    </row>
  </sheetData>
  <mergeCells count="1">
    <mergeCell ref="A2:L2"/>
  </mergeCells>
  <dataValidations count="1">
    <dataValidation allowBlank="true" error="Not one of the permitted values. The application enforces this enum." errorStyle="stop" errorTitle="Closed value set" operator="between" showDropDown="false" showErrorMessage="false" showInputMessage="false" sqref="I5:I25" type="list">
      <formula1>"prospecting,pending,acquired,development,stabilised,disposition_pending,exited"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9F6B"/>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4" min="2" style="0" width="16"/>
    <col collapsed="false" customWidth="true" hidden="false" outlineLevel="0" max="6" min="5" style="0" width="18"/>
    <col collapsed="false" customWidth="true" hidden="false" outlineLevel="0" max="7" min="7" style="0" width="22"/>
    <col collapsed="false" customWidth="true" hidden="false" outlineLevel="0" max="9" min="8" style="0" width="20"/>
  </cols>
  <sheetData>
    <row r="1" customFormat="false" ht="19.7" hidden="false" customHeight="false" outlineLevel="0" collapsed="false">
      <c r="A1" s="1" t="s">
        <v>70</v>
      </c>
    </row>
    <row r="2" customFormat="false" ht="31.5" hidden="false" customHeight="true" outlineLevel="0" collapsed="false">
      <c r="A2" s="6" t="s">
        <v>71</v>
      </c>
      <c r="B2" s="6"/>
      <c r="C2" s="6"/>
      <c r="D2" s="6"/>
      <c r="E2" s="6"/>
      <c r="F2" s="6"/>
      <c r="G2" s="6"/>
      <c r="H2" s="6"/>
      <c r="I2" s="6"/>
    </row>
    <row r="4" customFormat="false" ht="42" hidden="false" customHeight="true" outlineLevel="0" collapsed="false">
      <c r="A4" s="7" t="s">
        <v>28</v>
      </c>
      <c r="B4" s="7" t="s">
        <v>72</v>
      </c>
      <c r="C4" s="7" t="s">
        <v>73</v>
      </c>
      <c r="D4" s="7" t="s">
        <v>74</v>
      </c>
      <c r="E4" s="7" t="s">
        <v>75</v>
      </c>
      <c r="F4" s="7" t="s">
        <v>76</v>
      </c>
      <c r="G4" s="7" t="s">
        <v>77</v>
      </c>
      <c r="H4" s="7" t="s">
        <v>78</v>
      </c>
      <c r="I4" s="7" t="s">
        <v>79</v>
      </c>
    </row>
    <row r="5" customFormat="false" ht="15" hidden="false" customHeight="false" outlineLevel="0" collapsed="false">
      <c r="A5" s="8" t="s">
        <v>40</v>
      </c>
      <c r="B5" s="10" t="n">
        <v>30000000</v>
      </c>
      <c r="C5" s="10" t="n">
        <v>10000000</v>
      </c>
      <c r="D5" s="10" t="n">
        <v>55000000</v>
      </c>
      <c r="E5" s="10" t="n">
        <f aca="false">IF(B5="","",B5+C5)</f>
        <v>40000000</v>
      </c>
      <c r="F5" s="10" t="n">
        <f aca="false">IF(B5="","",E5+D5)</f>
        <v>95000000</v>
      </c>
      <c r="G5" s="8" t="s">
        <v>80</v>
      </c>
      <c r="H5" s="8"/>
      <c r="I5" s="8" t="s">
        <v>81</v>
      </c>
    </row>
    <row r="6" customFormat="false" ht="15" hidden="false" customHeight="false" outlineLevel="0" collapsed="false">
      <c r="A6" s="9"/>
      <c r="B6" s="11"/>
      <c r="C6" s="11"/>
      <c r="D6" s="11"/>
      <c r="E6" s="12" t="str">
        <f aca="false">IF(B6="","",B6+C6)</f>
        <v/>
      </c>
      <c r="F6" s="12" t="str">
        <f aca="false">IF(B6="","",E6+D6)</f>
        <v/>
      </c>
      <c r="G6" s="9"/>
      <c r="H6" s="9"/>
      <c r="I6" s="9"/>
    </row>
    <row r="7" customFormat="false" ht="15" hidden="false" customHeight="false" outlineLevel="0" collapsed="false">
      <c r="A7" s="9"/>
      <c r="B7" s="11"/>
      <c r="C7" s="11"/>
      <c r="D7" s="11"/>
      <c r="E7" s="12" t="str">
        <f aca="false">IF(B7="","",B7+C7)</f>
        <v/>
      </c>
      <c r="F7" s="12" t="str">
        <f aca="false">IF(B7="","",E7+D7)</f>
        <v/>
      </c>
      <c r="G7" s="9"/>
      <c r="H7" s="9"/>
      <c r="I7" s="9"/>
    </row>
    <row r="8" customFormat="false" ht="15" hidden="false" customHeight="false" outlineLevel="0" collapsed="false">
      <c r="A8" s="9"/>
      <c r="B8" s="11"/>
      <c r="C8" s="11"/>
      <c r="D8" s="11"/>
      <c r="E8" s="12" t="str">
        <f aca="false">IF(B8="","",B8+C8)</f>
        <v/>
      </c>
      <c r="F8" s="12" t="str">
        <f aca="false">IF(B8="","",E8+D8)</f>
        <v/>
      </c>
      <c r="G8" s="9"/>
      <c r="H8" s="9"/>
      <c r="I8" s="9"/>
    </row>
    <row r="9" customFormat="false" ht="15" hidden="false" customHeight="false" outlineLevel="0" collapsed="false">
      <c r="A9" s="9"/>
      <c r="B9" s="11"/>
      <c r="C9" s="11"/>
      <c r="D9" s="11"/>
      <c r="E9" s="12" t="str">
        <f aca="false">IF(B9="","",B9+C9)</f>
        <v/>
      </c>
      <c r="F9" s="12" t="str">
        <f aca="false">IF(B9="","",E9+D9)</f>
        <v/>
      </c>
      <c r="G9" s="9"/>
      <c r="H9" s="9"/>
      <c r="I9" s="9"/>
    </row>
    <row r="10" customFormat="false" ht="15" hidden="false" customHeight="false" outlineLevel="0" collapsed="false">
      <c r="A10" s="9"/>
      <c r="B10" s="11"/>
      <c r="C10" s="11"/>
      <c r="D10" s="11"/>
      <c r="E10" s="12" t="str">
        <f aca="false">IF(B10="","",B10+C10)</f>
        <v/>
      </c>
      <c r="F10" s="12" t="str">
        <f aca="false">IF(B10="","",E10+D10)</f>
        <v/>
      </c>
      <c r="G10" s="9"/>
      <c r="H10" s="9"/>
      <c r="I10" s="9"/>
    </row>
    <row r="11" customFormat="false" ht="15" hidden="false" customHeight="false" outlineLevel="0" collapsed="false">
      <c r="A11" s="9"/>
      <c r="B11" s="11"/>
      <c r="C11" s="11"/>
      <c r="D11" s="11"/>
      <c r="E11" s="12" t="str">
        <f aca="false">IF(B11="","",B11+C11)</f>
        <v/>
      </c>
      <c r="F11" s="12" t="str">
        <f aca="false">IF(B11="","",E11+D11)</f>
        <v/>
      </c>
      <c r="G11" s="9"/>
      <c r="H11" s="9"/>
      <c r="I11" s="9"/>
    </row>
    <row r="12" customFormat="false" ht="15" hidden="false" customHeight="false" outlineLevel="0" collapsed="false">
      <c r="A12" s="9"/>
      <c r="B12" s="11"/>
      <c r="C12" s="11"/>
      <c r="D12" s="11"/>
      <c r="E12" s="12" t="str">
        <f aca="false">IF(B12="","",B12+C12)</f>
        <v/>
      </c>
      <c r="F12" s="12" t="str">
        <f aca="false">IF(B12="","",E12+D12)</f>
        <v/>
      </c>
      <c r="G12" s="9"/>
      <c r="H12" s="9"/>
      <c r="I12" s="9"/>
    </row>
    <row r="13" customFormat="false" ht="15" hidden="false" customHeight="false" outlineLevel="0" collapsed="false">
      <c r="A13" s="9"/>
      <c r="B13" s="11"/>
      <c r="C13" s="11"/>
      <c r="D13" s="11"/>
      <c r="E13" s="12" t="str">
        <f aca="false">IF(B13="","",B13+C13)</f>
        <v/>
      </c>
      <c r="F13" s="12" t="str">
        <f aca="false">IF(B13="","",E13+D13)</f>
        <v/>
      </c>
      <c r="G13" s="9"/>
      <c r="H13" s="9"/>
      <c r="I13" s="9"/>
    </row>
    <row r="14" customFormat="false" ht="15" hidden="false" customHeight="false" outlineLevel="0" collapsed="false">
      <c r="A14" s="9"/>
      <c r="B14" s="11"/>
      <c r="C14" s="11"/>
      <c r="D14" s="11"/>
      <c r="E14" s="12" t="str">
        <f aca="false">IF(B14="","",B14+C14)</f>
        <v/>
      </c>
      <c r="F14" s="12" t="str">
        <f aca="false">IF(B14="","",E14+D14)</f>
        <v/>
      </c>
      <c r="G14" s="9"/>
      <c r="H14" s="9"/>
      <c r="I14" s="9"/>
    </row>
    <row r="15" customFormat="false" ht="15" hidden="false" customHeight="false" outlineLevel="0" collapsed="false">
      <c r="A15" s="9"/>
      <c r="B15" s="11"/>
      <c r="C15" s="11"/>
      <c r="D15" s="11"/>
      <c r="E15" s="12" t="str">
        <f aca="false">IF(B15="","",B15+C15)</f>
        <v/>
      </c>
      <c r="F15" s="12" t="str">
        <f aca="false">IF(B15="","",E15+D15)</f>
        <v/>
      </c>
      <c r="G15" s="9"/>
      <c r="H15" s="9"/>
      <c r="I15" s="9"/>
    </row>
    <row r="16" customFormat="false" ht="15" hidden="false" customHeight="false" outlineLevel="0" collapsed="false">
      <c r="A16" s="9"/>
      <c r="B16" s="11"/>
      <c r="C16" s="11"/>
      <c r="D16" s="11"/>
      <c r="E16" s="12" t="str">
        <f aca="false">IF(B16="","",B16+C16)</f>
        <v/>
      </c>
      <c r="F16" s="12" t="str">
        <f aca="false">IF(B16="","",E16+D16)</f>
        <v/>
      </c>
      <c r="G16" s="9"/>
      <c r="H16" s="9"/>
      <c r="I16" s="9"/>
    </row>
    <row r="17" customFormat="false" ht="15" hidden="false" customHeight="false" outlineLevel="0" collapsed="false">
      <c r="A17" s="9"/>
      <c r="B17" s="11"/>
      <c r="C17" s="11"/>
      <c r="D17" s="11"/>
      <c r="E17" s="12" t="str">
        <f aca="false">IF(B17="","",B17+C17)</f>
        <v/>
      </c>
      <c r="F17" s="12" t="str">
        <f aca="false">IF(B17="","",E17+D17)</f>
        <v/>
      </c>
      <c r="G17" s="9"/>
      <c r="H17" s="9"/>
      <c r="I17" s="9"/>
    </row>
    <row r="18" customFormat="false" ht="15" hidden="false" customHeight="false" outlineLevel="0" collapsed="false">
      <c r="A18" s="9"/>
      <c r="B18" s="11"/>
      <c r="C18" s="11"/>
      <c r="D18" s="11"/>
      <c r="E18" s="12" t="str">
        <f aca="false">IF(B18="","",B18+C18)</f>
        <v/>
      </c>
      <c r="F18" s="12" t="str">
        <f aca="false">IF(B18="","",E18+D18)</f>
        <v/>
      </c>
      <c r="G18" s="9"/>
      <c r="H18" s="9"/>
      <c r="I18" s="9"/>
    </row>
    <row r="19" customFormat="false" ht="15" hidden="false" customHeight="false" outlineLevel="0" collapsed="false">
      <c r="A19" s="9"/>
      <c r="B19" s="11"/>
      <c r="C19" s="11"/>
      <c r="D19" s="11"/>
      <c r="E19" s="12" t="str">
        <f aca="false">IF(B19="","",B19+C19)</f>
        <v/>
      </c>
      <c r="F19" s="12" t="str">
        <f aca="false">IF(B19="","",E19+D19)</f>
        <v/>
      </c>
      <c r="G19" s="9"/>
      <c r="H19" s="9"/>
      <c r="I19" s="9"/>
    </row>
    <row r="20" customFormat="false" ht="15" hidden="false" customHeight="false" outlineLevel="0" collapsed="false">
      <c r="A20" s="9"/>
      <c r="B20" s="11"/>
      <c r="C20" s="11"/>
      <c r="D20" s="11"/>
      <c r="E20" s="12" t="str">
        <f aca="false">IF(B20="","",B20+C20)</f>
        <v/>
      </c>
      <c r="F20" s="12" t="str">
        <f aca="false">IF(B20="","",E20+D20)</f>
        <v/>
      </c>
      <c r="G20" s="9"/>
      <c r="H20" s="9"/>
      <c r="I20" s="9"/>
    </row>
    <row r="21" customFormat="false" ht="15" hidden="false" customHeight="false" outlineLevel="0" collapsed="false">
      <c r="A21" s="9"/>
      <c r="B21" s="11"/>
      <c r="C21" s="11"/>
      <c r="D21" s="11"/>
      <c r="E21" s="12" t="str">
        <f aca="false">IF(B21="","",B21+C21)</f>
        <v/>
      </c>
      <c r="F21" s="12" t="str">
        <f aca="false">IF(B21="","",E21+D21)</f>
        <v/>
      </c>
      <c r="G21" s="9"/>
      <c r="H21" s="9"/>
      <c r="I21" s="9"/>
    </row>
    <row r="22" customFormat="false" ht="15" hidden="false" customHeight="false" outlineLevel="0" collapsed="false">
      <c r="A22" s="9"/>
      <c r="B22" s="11"/>
      <c r="C22" s="11"/>
      <c r="D22" s="11"/>
      <c r="E22" s="12" t="str">
        <f aca="false">IF(B22="","",B22+C22)</f>
        <v/>
      </c>
      <c r="F22" s="12" t="str">
        <f aca="false">IF(B22="","",E22+D22)</f>
        <v/>
      </c>
      <c r="G22" s="9"/>
      <c r="H22" s="9"/>
      <c r="I22" s="9"/>
    </row>
    <row r="23" customFormat="false" ht="15" hidden="false" customHeight="false" outlineLevel="0" collapsed="false">
      <c r="A23" s="9"/>
      <c r="B23" s="11"/>
      <c r="C23" s="11"/>
      <c r="D23" s="11"/>
      <c r="E23" s="12" t="str">
        <f aca="false">IF(B23="","",B23+C23)</f>
        <v/>
      </c>
      <c r="F23" s="12" t="str">
        <f aca="false">IF(B23="","",E23+D23)</f>
        <v/>
      </c>
      <c r="G23" s="9"/>
      <c r="H23" s="9"/>
      <c r="I23" s="9"/>
    </row>
    <row r="24" customFormat="false" ht="15" hidden="false" customHeight="false" outlineLevel="0" collapsed="false">
      <c r="A24" s="9"/>
      <c r="B24" s="11"/>
      <c r="C24" s="11"/>
      <c r="D24" s="11"/>
      <c r="E24" s="12" t="str">
        <f aca="false">IF(B24="","",B24+C24)</f>
        <v/>
      </c>
      <c r="F24" s="12" t="str">
        <f aca="false">IF(B24="","",E24+D24)</f>
        <v/>
      </c>
      <c r="G24" s="9"/>
      <c r="H24" s="9"/>
      <c r="I24" s="9"/>
    </row>
    <row r="25" customFormat="false" ht="15" hidden="false" customHeight="false" outlineLevel="0" collapsed="false">
      <c r="A25" s="9"/>
      <c r="B25" s="11"/>
      <c r="C25" s="11"/>
      <c r="D25" s="11"/>
      <c r="E25" s="12" t="str">
        <f aca="false">IF(B25="","",B25+C25)</f>
        <v/>
      </c>
      <c r="F25" s="12" t="str">
        <f aca="false">IF(B25="","",E25+D25)</f>
        <v/>
      </c>
      <c r="G25" s="9"/>
      <c r="H25" s="9"/>
      <c r="I25" s="9"/>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6635"/>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5" min="4" style="0" width="14"/>
    <col collapsed="false" customWidth="true" hidden="false" outlineLevel="0" max="6" min="6" style="0" width="18"/>
    <col collapsed="false" customWidth="true" hidden="false" outlineLevel="0" max="8" min="7" style="0" width="14"/>
    <col collapsed="false" customWidth="true" hidden="false" outlineLevel="0" max="9" min="9" style="0" width="26"/>
  </cols>
  <sheetData>
    <row r="1" customFormat="false" ht="19.7" hidden="false" customHeight="false" outlineLevel="0" collapsed="false">
      <c r="A1" s="1" t="s">
        <v>82</v>
      </c>
    </row>
    <row r="2" customFormat="false" ht="31.5" hidden="false" customHeight="true" outlineLevel="0" collapsed="false">
      <c r="A2" s="6" t="s">
        <v>83</v>
      </c>
      <c r="B2" s="6"/>
      <c r="C2" s="6"/>
      <c r="D2" s="6"/>
      <c r="E2" s="6"/>
      <c r="F2" s="6"/>
      <c r="G2" s="6"/>
      <c r="H2" s="6"/>
      <c r="I2" s="6"/>
    </row>
    <row r="4" customFormat="false" ht="42" hidden="false" customHeight="true" outlineLevel="0" collapsed="false">
      <c r="A4" s="7" t="s">
        <v>28</v>
      </c>
      <c r="B4" s="7" t="s">
        <v>84</v>
      </c>
      <c r="C4" s="7" t="s">
        <v>85</v>
      </c>
      <c r="D4" s="7" t="s">
        <v>86</v>
      </c>
      <c r="E4" s="7" t="s">
        <v>87</v>
      </c>
      <c r="F4" s="7" t="s">
        <v>88</v>
      </c>
      <c r="G4" s="7" t="s">
        <v>89</v>
      </c>
      <c r="H4" s="7" t="s">
        <v>90</v>
      </c>
      <c r="I4" s="7" t="s">
        <v>91</v>
      </c>
    </row>
    <row r="5" customFormat="false" ht="15" hidden="false" customHeight="false" outlineLevel="0" collapsed="false">
      <c r="A5" s="8" t="s">
        <v>40</v>
      </c>
      <c r="B5" s="13" t="n">
        <v>500</v>
      </c>
      <c r="C5" s="13" t="n">
        <v>500</v>
      </c>
      <c r="D5" s="13" t="n">
        <v>5000</v>
      </c>
      <c r="E5" s="13" t="n">
        <f aca="false">IF(B5="","",10000/B5)</f>
        <v>20</v>
      </c>
      <c r="F5" s="14" t="n">
        <f aca="false">IFERROR(IF(B5="","",INDEX('3 Capital stack'!$E$5:$E$25,MATCH(A5,'3 Capital stack'!$A$5:$A$25,0))/E5),"")</f>
        <v>2000000</v>
      </c>
      <c r="G5" s="13" t="n">
        <v>11</v>
      </c>
      <c r="H5" s="10" t="n">
        <v>50000</v>
      </c>
      <c r="I5" s="8" t="s">
        <v>92</v>
      </c>
    </row>
    <row r="6" customFormat="false" ht="15" hidden="false" customHeight="false" outlineLevel="0" collapsed="false">
      <c r="A6" s="9"/>
      <c r="B6" s="15"/>
      <c r="C6" s="15"/>
      <c r="D6" s="15"/>
      <c r="E6" s="16" t="str">
        <f aca="false">IF(B6="","",10000/B6)</f>
        <v/>
      </c>
      <c r="F6" s="17" t="str">
        <f aca="false">IFERROR(IF(B6="","",INDEX('3 Capital stack'!$E$5:$E$25,MATCH(A6,'3 Capital stack'!$A$5:$A$25,0))/E6),"")</f>
        <v/>
      </c>
      <c r="G6" s="15"/>
      <c r="H6" s="11"/>
      <c r="I6" s="9"/>
    </row>
    <row r="7" customFormat="false" ht="15" hidden="false" customHeight="false" outlineLevel="0" collapsed="false">
      <c r="A7" s="9"/>
      <c r="B7" s="15"/>
      <c r="C7" s="15"/>
      <c r="D7" s="15"/>
      <c r="E7" s="16" t="str">
        <f aca="false">IF(B7="","",10000/B7)</f>
        <v/>
      </c>
      <c r="F7" s="17" t="str">
        <f aca="false">IFERROR(IF(B7="","",INDEX('3 Capital stack'!$E$5:$E$25,MATCH(A7,'3 Capital stack'!$A$5:$A$25,0))/E7),"")</f>
        <v/>
      </c>
      <c r="G7" s="15"/>
      <c r="H7" s="11"/>
      <c r="I7" s="9"/>
    </row>
    <row r="8" customFormat="false" ht="15" hidden="false" customHeight="false" outlineLevel="0" collapsed="false">
      <c r="A8" s="9"/>
      <c r="B8" s="15"/>
      <c r="C8" s="15"/>
      <c r="D8" s="15"/>
      <c r="E8" s="16" t="str">
        <f aca="false">IF(B8="","",10000/B8)</f>
        <v/>
      </c>
      <c r="F8" s="17" t="str">
        <f aca="false">IFERROR(IF(B8="","",INDEX('3 Capital stack'!$E$5:$E$25,MATCH(A8,'3 Capital stack'!$A$5:$A$25,0))/E8),"")</f>
        <v/>
      </c>
      <c r="G8" s="15"/>
      <c r="H8" s="11"/>
      <c r="I8" s="9"/>
    </row>
    <row r="9" customFormat="false" ht="15" hidden="false" customHeight="false" outlineLevel="0" collapsed="false">
      <c r="A9" s="9"/>
      <c r="B9" s="15"/>
      <c r="C9" s="15"/>
      <c r="D9" s="15"/>
      <c r="E9" s="16" t="str">
        <f aca="false">IF(B9="","",10000/B9)</f>
        <v/>
      </c>
      <c r="F9" s="17" t="str">
        <f aca="false">IFERROR(IF(B9="","",INDEX('3 Capital stack'!$E$5:$E$25,MATCH(A9,'3 Capital stack'!$A$5:$A$25,0))/E9),"")</f>
        <v/>
      </c>
      <c r="G9" s="15"/>
      <c r="H9" s="11"/>
      <c r="I9" s="9"/>
    </row>
    <row r="10" customFormat="false" ht="15" hidden="false" customHeight="false" outlineLevel="0" collapsed="false">
      <c r="A10" s="9"/>
      <c r="B10" s="15"/>
      <c r="C10" s="15"/>
      <c r="D10" s="15"/>
      <c r="E10" s="16" t="str">
        <f aca="false">IF(B10="","",10000/B10)</f>
        <v/>
      </c>
      <c r="F10" s="17" t="str">
        <f aca="false">IFERROR(IF(B10="","",INDEX('3 Capital stack'!$E$5:$E$25,MATCH(A10,'3 Capital stack'!$A$5:$A$25,0))/E10),"")</f>
        <v/>
      </c>
      <c r="G10" s="15"/>
      <c r="H10" s="11"/>
      <c r="I10" s="9"/>
    </row>
    <row r="11" customFormat="false" ht="15" hidden="false" customHeight="false" outlineLevel="0" collapsed="false">
      <c r="A11" s="9"/>
      <c r="B11" s="15"/>
      <c r="C11" s="15"/>
      <c r="D11" s="15"/>
      <c r="E11" s="16" t="str">
        <f aca="false">IF(B11="","",10000/B11)</f>
        <v/>
      </c>
      <c r="F11" s="17" t="str">
        <f aca="false">IFERROR(IF(B11="","",INDEX('3 Capital stack'!$E$5:$E$25,MATCH(A11,'3 Capital stack'!$A$5:$A$25,0))/E11),"")</f>
        <v/>
      </c>
      <c r="G11" s="15"/>
      <c r="H11" s="11"/>
      <c r="I11" s="9"/>
    </row>
    <row r="12" customFormat="false" ht="15" hidden="false" customHeight="false" outlineLevel="0" collapsed="false">
      <c r="A12" s="9"/>
      <c r="B12" s="15"/>
      <c r="C12" s="15"/>
      <c r="D12" s="15"/>
      <c r="E12" s="16" t="str">
        <f aca="false">IF(B12="","",10000/B12)</f>
        <v/>
      </c>
      <c r="F12" s="17" t="str">
        <f aca="false">IFERROR(IF(B12="","",INDEX('3 Capital stack'!$E$5:$E$25,MATCH(A12,'3 Capital stack'!$A$5:$A$25,0))/E12),"")</f>
        <v/>
      </c>
      <c r="G12" s="15"/>
      <c r="H12" s="11"/>
      <c r="I12" s="9"/>
    </row>
    <row r="13" customFormat="false" ht="15" hidden="false" customHeight="false" outlineLevel="0" collapsed="false">
      <c r="A13" s="9"/>
      <c r="B13" s="15"/>
      <c r="C13" s="15"/>
      <c r="D13" s="15"/>
      <c r="E13" s="16" t="str">
        <f aca="false">IF(B13="","",10000/B13)</f>
        <v/>
      </c>
      <c r="F13" s="17" t="str">
        <f aca="false">IFERROR(IF(B13="","",INDEX('3 Capital stack'!$E$5:$E$25,MATCH(A13,'3 Capital stack'!$A$5:$A$25,0))/E13),"")</f>
        <v/>
      </c>
      <c r="G13" s="15"/>
      <c r="H13" s="11"/>
      <c r="I13" s="9"/>
    </row>
    <row r="14" customFormat="false" ht="15" hidden="false" customHeight="false" outlineLevel="0" collapsed="false">
      <c r="A14" s="9"/>
      <c r="B14" s="15"/>
      <c r="C14" s="15"/>
      <c r="D14" s="15"/>
      <c r="E14" s="16" t="str">
        <f aca="false">IF(B14="","",10000/B14)</f>
        <v/>
      </c>
      <c r="F14" s="17" t="str">
        <f aca="false">IFERROR(IF(B14="","",INDEX('3 Capital stack'!$E$5:$E$25,MATCH(A14,'3 Capital stack'!$A$5:$A$25,0))/E14),"")</f>
        <v/>
      </c>
      <c r="G14" s="15"/>
      <c r="H14" s="11"/>
      <c r="I14" s="9"/>
    </row>
    <row r="15" customFormat="false" ht="15" hidden="false" customHeight="false" outlineLevel="0" collapsed="false">
      <c r="A15" s="9"/>
      <c r="B15" s="15"/>
      <c r="C15" s="15"/>
      <c r="D15" s="15"/>
      <c r="E15" s="16" t="str">
        <f aca="false">IF(B15="","",10000/B15)</f>
        <v/>
      </c>
      <c r="F15" s="17" t="str">
        <f aca="false">IFERROR(IF(B15="","",INDEX('3 Capital stack'!$E$5:$E$25,MATCH(A15,'3 Capital stack'!$A$5:$A$25,0))/E15),"")</f>
        <v/>
      </c>
      <c r="G15" s="15"/>
      <c r="H15" s="11"/>
      <c r="I15" s="9"/>
    </row>
    <row r="16" customFormat="false" ht="15" hidden="false" customHeight="false" outlineLevel="0" collapsed="false">
      <c r="A16" s="9"/>
      <c r="B16" s="15"/>
      <c r="C16" s="15"/>
      <c r="D16" s="15"/>
      <c r="E16" s="16" t="str">
        <f aca="false">IF(B16="","",10000/B16)</f>
        <v/>
      </c>
      <c r="F16" s="17" t="str">
        <f aca="false">IFERROR(IF(B16="","",INDEX('3 Capital stack'!$E$5:$E$25,MATCH(A16,'3 Capital stack'!$A$5:$A$25,0))/E16),"")</f>
        <v/>
      </c>
      <c r="G16" s="15"/>
      <c r="H16" s="11"/>
      <c r="I16" s="9"/>
    </row>
    <row r="17" customFormat="false" ht="15" hidden="false" customHeight="false" outlineLevel="0" collapsed="false">
      <c r="A17" s="9"/>
      <c r="B17" s="15"/>
      <c r="C17" s="15"/>
      <c r="D17" s="15"/>
      <c r="E17" s="16" t="str">
        <f aca="false">IF(B17="","",10000/B17)</f>
        <v/>
      </c>
      <c r="F17" s="17" t="str">
        <f aca="false">IFERROR(IF(B17="","",INDEX('3 Capital stack'!$E$5:$E$25,MATCH(A17,'3 Capital stack'!$A$5:$A$25,0))/E17),"")</f>
        <v/>
      </c>
      <c r="G17" s="15"/>
      <c r="H17" s="11"/>
      <c r="I17" s="9"/>
    </row>
    <row r="18" customFormat="false" ht="15" hidden="false" customHeight="false" outlineLevel="0" collapsed="false">
      <c r="A18" s="9"/>
      <c r="B18" s="15"/>
      <c r="C18" s="15"/>
      <c r="D18" s="15"/>
      <c r="E18" s="16" t="str">
        <f aca="false">IF(B18="","",10000/B18)</f>
        <v/>
      </c>
      <c r="F18" s="17" t="str">
        <f aca="false">IFERROR(IF(B18="","",INDEX('3 Capital stack'!$E$5:$E$25,MATCH(A18,'3 Capital stack'!$A$5:$A$25,0))/E18),"")</f>
        <v/>
      </c>
      <c r="G18" s="15"/>
      <c r="H18" s="11"/>
      <c r="I18" s="9"/>
    </row>
    <row r="19" customFormat="false" ht="15" hidden="false" customHeight="false" outlineLevel="0" collapsed="false">
      <c r="A19" s="9"/>
      <c r="B19" s="15"/>
      <c r="C19" s="15"/>
      <c r="D19" s="15"/>
      <c r="E19" s="16" t="str">
        <f aca="false">IF(B19="","",10000/B19)</f>
        <v/>
      </c>
      <c r="F19" s="17" t="str">
        <f aca="false">IFERROR(IF(B19="","",INDEX('3 Capital stack'!$E$5:$E$25,MATCH(A19,'3 Capital stack'!$A$5:$A$25,0))/E19),"")</f>
        <v/>
      </c>
      <c r="G19" s="15"/>
      <c r="H19" s="11"/>
      <c r="I19" s="9"/>
    </row>
    <row r="20" customFormat="false" ht="15" hidden="false" customHeight="false" outlineLevel="0" collapsed="false">
      <c r="A20" s="9"/>
      <c r="B20" s="15"/>
      <c r="C20" s="15"/>
      <c r="D20" s="15"/>
      <c r="E20" s="16" t="str">
        <f aca="false">IF(B20="","",10000/B20)</f>
        <v/>
      </c>
      <c r="F20" s="17" t="str">
        <f aca="false">IFERROR(IF(B20="","",INDEX('3 Capital stack'!$E$5:$E$25,MATCH(A20,'3 Capital stack'!$A$5:$A$25,0))/E20),"")</f>
        <v/>
      </c>
      <c r="G20" s="15"/>
      <c r="H20" s="11"/>
      <c r="I20" s="9"/>
    </row>
    <row r="21" customFormat="false" ht="15" hidden="false" customHeight="false" outlineLevel="0" collapsed="false">
      <c r="A21" s="9"/>
      <c r="B21" s="15"/>
      <c r="C21" s="15"/>
      <c r="D21" s="15"/>
      <c r="E21" s="16" t="str">
        <f aca="false">IF(B21="","",10000/B21)</f>
        <v/>
      </c>
      <c r="F21" s="17" t="str">
        <f aca="false">IFERROR(IF(B21="","",INDEX('3 Capital stack'!$E$5:$E$25,MATCH(A21,'3 Capital stack'!$A$5:$A$25,0))/E21),"")</f>
        <v/>
      </c>
      <c r="G21" s="15"/>
      <c r="H21" s="11"/>
      <c r="I21" s="9"/>
    </row>
    <row r="22" customFormat="false" ht="15" hidden="false" customHeight="false" outlineLevel="0" collapsed="false">
      <c r="A22" s="9"/>
      <c r="B22" s="15"/>
      <c r="C22" s="15"/>
      <c r="D22" s="15"/>
      <c r="E22" s="16" t="str">
        <f aca="false">IF(B22="","",10000/B22)</f>
        <v/>
      </c>
      <c r="F22" s="17" t="str">
        <f aca="false">IFERROR(IF(B22="","",INDEX('3 Capital stack'!$E$5:$E$25,MATCH(A22,'3 Capital stack'!$A$5:$A$25,0))/E22),"")</f>
        <v/>
      </c>
      <c r="G22" s="15"/>
      <c r="H22" s="11"/>
      <c r="I22" s="9"/>
    </row>
    <row r="23" customFormat="false" ht="15" hidden="false" customHeight="false" outlineLevel="0" collapsed="false">
      <c r="A23" s="9"/>
      <c r="B23" s="15"/>
      <c r="C23" s="15"/>
      <c r="D23" s="15"/>
      <c r="E23" s="16" t="str">
        <f aca="false">IF(B23="","",10000/B23)</f>
        <v/>
      </c>
      <c r="F23" s="17" t="str">
        <f aca="false">IFERROR(IF(B23="","",INDEX('3 Capital stack'!$E$5:$E$25,MATCH(A23,'3 Capital stack'!$A$5:$A$25,0))/E23),"")</f>
        <v/>
      </c>
      <c r="G23" s="15"/>
      <c r="H23" s="11"/>
      <c r="I23" s="9"/>
    </row>
    <row r="24" customFormat="false" ht="15" hidden="false" customHeight="false" outlineLevel="0" collapsed="false">
      <c r="A24" s="9"/>
      <c r="B24" s="15"/>
      <c r="C24" s="15"/>
      <c r="D24" s="15"/>
      <c r="E24" s="16" t="str">
        <f aca="false">IF(B24="","",10000/B24)</f>
        <v/>
      </c>
      <c r="F24" s="17" t="str">
        <f aca="false">IFERROR(IF(B24="","",INDEX('3 Capital stack'!$E$5:$E$25,MATCH(A24,'3 Capital stack'!$A$5:$A$25,0))/E24),"")</f>
        <v/>
      </c>
      <c r="G24" s="15"/>
      <c r="H24" s="11"/>
      <c r="I24" s="9"/>
    </row>
    <row r="25" customFormat="false" ht="15" hidden="false" customHeight="false" outlineLevel="0" collapsed="false">
      <c r="A25" s="9"/>
      <c r="B25" s="15"/>
      <c r="C25" s="15"/>
      <c r="D25" s="15"/>
      <c r="E25" s="16" t="str">
        <f aca="false">IF(B25="","",10000/B25)</f>
        <v/>
      </c>
      <c r="F25" s="17" t="str">
        <f aca="false">IFERROR(IF(B25="","",INDEX('3 Capital stack'!$E$5:$E$25,MATCH(A25,'3 Capital stack'!$A$5:$A$25,0))/E25),"")</f>
        <v/>
      </c>
      <c r="G25" s="15"/>
      <c r="H25" s="11"/>
      <c r="I25" s="9"/>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4915"/>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2"/>
    <col collapsed="false" customWidth="true" hidden="false" outlineLevel="0" max="3" min="3" style="0" width="14"/>
    <col collapsed="false" customWidth="true" hidden="false" outlineLevel="0" max="4" min="4" style="0" width="18"/>
    <col collapsed="false" customWidth="true" hidden="false" outlineLevel="0" max="5" min="5" style="0" width="14"/>
    <col collapsed="false" customWidth="true" hidden="false" outlineLevel="0" max="6" min="6" style="0" width="13"/>
    <col collapsed="false" customWidth="true" hidden="false" outlineLevel="0" max="10" min="7" style="0" width="15"/>
    <col collapsed="false" customWidth="true" hidden="false" outlineLevel="0" max="11" min="11" style="0" width="16"/>
    <col collapsed="false" customWidth="true" hidden="false" outlineLevel="0" max="12" min="12" style="0" width="14"/>
  </cols>
  <sheetData>
    <row r="1" customFormat="false" ht="19.7" hidden="false" customHeight="false" outlineLevel="0" collapsed="false">
      <c r="A1" s="1" t="s">
        <v>93</v>
      </c>
    </row>
    <row r="2" customFormat="false" ht="31.5" hidden="false" customHeight="true" outlineLevel="0" collapsed="false">
      <c r="A2" s="6" t="s">
        <v>94</v>
      </c>
      <c r="B2" s="6"/>
      <c r="C2" s="6"/>
      <c r="D2" s="6"/>
      <c r="E2" s="6"/>
      <c r="F2" s="6"/>
      <c r="G2" s="6"/>
      <c r="H2" s="6"/>
      <c r="I2" s="6"/>
      <c r="J2" s="6"/>
      <c r="K2" s="6"/>
      <c r="L2" s="6"/>
    </row>
    <row r="4" customFormat="false" ht="42" hidden="false" customHeight="true" outlineLevel="0" collapsed="false">
      <c r="A4" s="7" t="s">
        <v>28</v>
      </c>
      <c r="B4" s="7" t="s">
        <v>95</v>
      </c>
      <c r="C4" s="7" t="s">
        <v>96</v>
      </c>
      <c r="D4" s="7" t="s">
        <v>97</v>
      </c>
      <c r="E4" s="7" t="s">
        <v>98</v>
      </c>
      <c r="F4" s="7" t="s">
        <v>99</v>
      </c>
      <c r="G4" s="7" t="s">
        <v>100</v>
      </c>
      <c r="H4" s="7" t="s">
        <v>101</v>
      </c>
      <c r="I4" s="7" t="s">
        <v>102</v>
      </c>
      <c r="J4" s="7" t="s">
        <v>103</v>
      </c>
      <c r="K4" s="7" t="s">
        <v>104</v>
      </c>
      <c r="L4" s="7" t="s">
        <v>105</v>
      </c>
    </row>
    <row r="5" customFormat="false" ht="15" hidden="false" customHeight="false" outlineLevel="0" collapsed="false">
      <c r="A5" s="8" t="s">
        <v>40</v>
      </c>
      <c r="B5" s="10" t="n">
        <v>15000</v>
      </c>
      <c r="C5" s="13" t="n">
        <v>5000</v>
      </c>
      <c r="D5" s="10" t="n">
        <f aca="false">IFERROR(IF(B5="","",INDEX('2 Property'!$H$5:$H$25,MATCH(A5,'2 Property'!$A$5:$A$25,0))*365*(C5/10000)*B5),"")</f>
        <v>32850000</v>
      </c>
      <c r="E5" s="13" t="n">
        <v>3500</v>
      </c>
      <c r="F5" s="13" t="n">
        <v>1500</v>
      </c>
      <c r="G5" s="13" t="n">
        <v>250</v>
      </c>
      <c r="H5" s="13" t="n">
        <v>250</v>
      </c>
      <c r="I5" s="13" t="n">
        <v>2308</v>
      </c>
      <c r="J5" s="13" t="n">
        <f aca="false">IF(B5="","",10000-E5-F5-G5-H5-I5)</f>
        <v>2192</v>
      </c>
      <c r="K5" s="10" t="n">
        <v>3960000</v>
      </c>
      <c r="L5" s="8" t="s">
        <v>106</v>
      </c>
    </row>
    <row r="6" customFormat="false" ht="15" hidden="false" customHeight="false" outlineLevel="0" collapsed="false">
      <c r="A6" s="9"/>
      <c r="B6" s="11"/>
      <c r="C6" s="15"/>
      <c r="D6" s="12" t="str">
        <f aca="false">IFERROR(IF(B6="","",INDEX('2 Property'!$H$5:$H$25,MATCH(A6,'2 Property'!$A$5:$A$25,0))*365*(C6/10000)*B6),"")</f>
        <v/>
      </c>
      <c r="E6" s="15"/>
      <c r="F6" s="15"/>
      <c r="G6" s="15"/>
      <c r="H6" s="15"/>
      <c r="I6" s="15"/>
      <c r="J6" s="16" t="str">
        <f aca="false">IF(B6="","",10000-E6-F6-G6-H6-I6)</f>
        <v/>
      </c>
      <c r="K6" s="11"/>
      <c r="L6" s="9"/>
    </row>
    <row r="7" customFormat="false" ht="15" hidden="false" customHeight="false" outlineLevel="0" collapsed="false">
      <c r="A7" s="9"/>
      <c r="B7" s="11"/>
      <c r="C7" s="15"/>
      <c r="D7" s="12" t="str">
        <f aca="false">IFERROR(IF(B7="","",INDEX('2 Property'!$H$5:$H$25,MATCH(A7,'2 Property'!$A$5:$A$25,0))*365*(C7/10000)*B7),"")</f>
        <v/>
      </c>
      <c r="E7" s="15"/>
      <c r="F7" s="15"/>
      <c r="G7" s="15"/>
      <c r="H7" s="15"/>
      <c r="I7" s="15"/>
      <c r="J7" s="16" t="str">
        <f aca="false">IF(B7="","",10000-E7-F7-G7-H7-I7)</f>
        <v/>
      </c>
      <c r="K7" s="11"/>
      <c r="L7" s="9"/>
    </row>
    <row r="8" customFormat="false" ht="15" hidden="false" customHeight="false" outlineLevel="0" collapsed="false">
      <c r="A8" s="9"/>
      <c r="B8" s="11"/>
      <c r="C8" s="15"/>
      <c r="D8" s="12" t="str">
        <f aca="false">IFERROR(IF(B8="","",INDEX('2 Property'!$H$5:$H$25,MATCH(A8,'2 Property'!$A$5:$A$25,0))*365*(C8/10000)*B8),"")</f>
        <v/>
      </c>
      <c r="E8" s="15"/>
      <c r="F8" s="15"/>
      <c r="G8" s="15"/>
      <c r="H8" s="15"/>
      <c r="I8" s="15"/>
      <c r="J8" s="16" t="str">
        <f aca="false">IF(B8="","",10000-E8-F8-G8-H8-I8)</f>
        <v/>
      </c>
      <c r="K8" s="11"/>
      <c r="L8" s="9"/>
    </row>
    <row r="9" customFormat="false" ht="15" hidden="false" customHeight="false" outlineLevel="0" collapsed="false">
      <c r="A9" s="9"/>
      <c r="B9" s="11"/>
      <c r="C9" s="15"/>
      <c r="D9" s="12" t="str">
        <f aca="false">IFERROR(IF(B9="","",INDEX('2 Property'!$H$5:$H$25,MATCH(A9,'2 Property'!$A$5:$A$25,0))*365*(C9/10000)*B9),"")</f>
        <v/>
      </c>
      <c r="E9" s="15"/>
      <c r="F9" s="15"/>
      <c r="G9" s="15"/>
      <c r="H9" s="15"/>
      <c r="I9" s="15"/>
      <c r="J9" s="16" t="str">
        <f aca="false">IF(B9="","",10000-E9-F9-G9-H9-I9)</f>
        <v/>
      </c>
      <c r="K9" s="11"/>
      <c r="L9" s="9"/>
    </row>
    <row r="10" customFormat="false" ht="15" hidden="false" customHeight="false" outlineLevel="0" collapsed="false">
      <c r="A10" s="9"/>
      <c r="B10" s="11"/>
      <c r="C10" s="15"/>
      <c r="D10" s="12" t="str">
        <f aca="false">IFERROR(IF(B10="","",INDEX('2 Property'!$H$5:$H$25,MATCH(A10,'2 Property'!$A$5:$A$25,0))*365*(C10/10000)*B10),"")</f>
        <v/>
      </c>
      <c r="E10" s="15"/>
      <c r="F10" s="15"/>
      <c r="G10" s="15"/>
      <c r="H10" s="15"/>
      <c r="I10" s="15"/>
      <c r="J10" s="16" t="str">
        <f aca="false">IF(B10="","",10000-E10-F10-G10-H10-I10)</f>
        <v/>
      </c>
      <c r="K10" s="11"/>
      <c r="L10" s="9"/>
    </row>
    <row r="11" customFormat="false" ht="15" hidden="false" customHeight="false" outlineLevel="0" collapsed="false">
      <c r="A11" s="9"/>
      <c r="B11" s="11"/>
      <c r="C11" s="15"/>
      <c r="D11" s="12" t="str">
        <f aca="false">IFERROR(IF(B11="","",INDEX('2 Property'!$H$5:$H$25,MATCH(A11,'2 Property'!$A$5:$A$25,0))*365*(C11/10000)*B11),"")</f>
        <v/>
      </c>
      <c r="E11" s="15"/>
      <c r="F11" s="15"/>
      <c r="G11" s="15"/>
      <c r="H11" s="15"/>
      <c r="I11" s="15"/>
      <c r="J11" s="16" t="str">
        <f aca="false">IF(B11="","",10000-E11-F11-G11-H11-I11)</f>
        <v/>
      </c>
      <c r="K11" s="11"/>
      <c r="L11" s="9"/>
    </row>
    <row r="12" customFormat="false" ht="15" hidden="false" customHeight="false" outlineLevel="0" collapsed="false">
      <c r="A12" s="9"/>
      <c r="B12" s="11"/>
      <c r="C12" s="15"/>
      <c r="D12" s="12" t="str">
        <f aca="false">IFERROR(IF(B12="","",INDEX('2 Property'!$H$5:$H$25,MATCH(A12,'2 Property'!$A$5:$A$25,0))*365*(C12/10000)*B12),"")</f>
        <v/>
      </c>
      <c r="E12" s="15"/>
      <c r="F12" s="15"/>
      <c r="G12" s="15"/>
      <c r="H12" s="15"/>
      <c r="I12" s="15"/>
      <c r="J12" s="16" t="str">
        <f aca="false">IF(B12="","",10000-E12-F12-G12-H12-I12)</f>
        <v/>
      </c>
      <c r="K12" s="11"/>
      <c r="L12" s="9"/>
    </row>
    <row r="13" customFormat="false" ht="15" hidden="false" customHeight="false" outlineLevel="0" collapsed="false">
      <c r="A13" s="9"/>
      <c r="B13" s="11"/>
      <c r="C13" s="15"/>
      <c r="D13" s="12" t="str">
        <f aca="false">IFERROR(IF(B13="","",INDEX('2 Property'!$H$5:$H$25,MATCH(A13,'2 Property'!$A$5:$A$25,0))*365*(C13/10000)*B13),"")</f>
        <v/>
      </c>
      <c r="E13" s="15"/>
      <c r="F13" s="15"/>
      <c r="G13" s="15"/>
      <c r="H13" s="15"/>
      <c r="I13" s="15"/>
      <c r="J13" s="16" t="str">
        <f aca="false">IF(B13="","",10000-E13-F13-G13-H13-I13)</f>
        <v/>
      </c>
      <c r="K13" s="11"/>
      <c r="L13" s="9"/>
    </row>
    <row r="14" customFormat="false" ht="15" hidden="false" customHeight="false" outlineLevel="0" collapsed="false">
      <c r="A14" s="9"/>
      <c r="B14" s="11"/>
      <c r="C14" s="15"/>
      <c r="D14" s="12" t="str">
        <f aca="false">IFERROR(IF(B14="","",INDEX('2 Property'!$H$5:$H$25,MATCH(A14,'2 Property'!$A$5:$A$25,0))*365*(C14/10000)*B14),"")</f>
        <v/>
      </c>
      <c r="E14" s="15"/>
      <c r="F14" s="15"/>
      <c r="G14" s="15"/>
      <c r="H14" s="15"/>
      <c r="I14" s="15"/>
      <c r="J14" s="16" t="str">
        <f aca="false">IF(B14="","",10000-E14-F14-G14-H14-I14)</f>
        <v/>
      </c>
      <c r="K14" s="11"/>
      <c r="L14" s="9"/>
    </row>
    <row r="15" customFormat="false" ht="15" hidden="false" customHeight="false" outlineLevel="0" collapsed="false">
      <c r="A15" s="9"/>
      <c r="B15" s="11"/>
      <c r="C15" s="15"/>
      <c r="D15" s="12" t="str">
        <f aca="false">IFERROR(IF(B15="","",INDEX('2 Property'!$H$5:$H$25,MATCH(A15,'2 Property'!$A$5:$A$25,0))*365*(C15/10000)*B15),"")</f>
        <v/>
      </c>
      <c r="E15" s="15"/>
      <c r="F15" s="15"/>
      <c r="G15" s="15"/>
      <c r="H15" s="15"/>
      <c r="I15" s="15"/>
      <c r="J15" s="16" t="str">
        <f aca="false">IF(B15="","",10000-E15-F15-G15-H15-I15)</f>
        <v/>
      </c>
      <c r="K15" s="11"/>
      <c r="L15" s="9"/>
    </row>
    <row r="16" customFormat="false" ht="15" hidden="false" customHeight="false" outlineLevel="0" collapsed="false">
      <c r="A16" s="9"/>
      <c r="B16" s="11"/>
      <c r="C16" s="15"/>
      <c r="D16" s="12" t="str">
        <f aca="false">IFERROR(IF(B16="","",INDEX('2 Property'!$H$5:$H$25,MATCH(A16,'2 Property'!$A$5:$A$25,0))*365*(C16/10000)*B16),"")</f>
        <v/>
      </c>
      <c r="E16" s="15"/>
      <c r="F16" s="15"/>
      <c r="G16" s="15"/>
      <c r="H16" s="15"/>
      <c r="I16" s="15"/>
      <c r="J16" s="16" t="str">
        <f aca="false">IF(B16="","",10000-E16-F16-G16-H16-I16)</f>
        <v/>
      </c>
      <c r="K16" s="11"/>
      <c r="L16" s="9"/>
    </row>
    <row r="17" customFormat="false" ht="15" hidden="false" customHeight="false" outlineLevel="0" collapsed="false">
      <c r="A17" s="9"/>
      <c r="B17" s="11"/>
      <c r="C17" s="15"/>
      <c r="D17" s="12" t="str">
        <f aca="false">IFERROR(IF(B17="","",INDEX('2 Property'!$H$5:$H$25,MATCH(A17,'2 Property'!$A$5:$A$25,0))*365*(C17/10000)*B17),"")</f>
        <v/>
      </c>
      <c r="E17" s="15"/>
      <c r="F17" s="15"/>
      <c r="G17" s="15"/>
      <c r="H17" s="15"/>
      <c r="I17" s="15"/>
      <c r="J17" s="16" t="str">
        <f aca="false">IF(B17="","",10000-E17-F17-G17-H17-I17)</f>
        <v/>
      </c>
      <c r="K17" s="11"/>
      <c r="L17" s="9"/>
    </row>
    <row r="18" customFormat="false" ht="15" hidden="false" customHeight="false" outlineLevel="0" collapsed="false">
      <c r="A18" s="9"/>
      <c r="B18" s="11"/>
      <c r="C18" s="15"/>
      <c r="D18" s="12" t="str">
        <f aca="false">IFERROR(IF(B18="","",INDEX('2 Property'!$H$5:$H$25,MATCH(A18,'2 Property'!$A$5:$A$25,0))*365*(C18/10000)*B18),"")</f>
        <v/>
      </c>
      <c r="E18" s="15"/>
      <c r="F18" s="15"/>
      <c r="G18" s="15"/>
      <c r="H18" s="15"/>
      <c r="I18" s="15"/>
      <c r="J18" s="16" t="str">
        <f aca="false">IF(B18="","",10000-E18-F18-G18-H18-I18)</f>
        <v/>
      </c>
      <c r="K18" s="11"/>
      <c r="L18" s="9"/>
    </row>
    <row r="19" customFormat="false" ht="15" hidden="false" customHeight="false" outlineLevel="0" collapsed="false">
      <c r="A19" s="9"/>
      <c r="B19" s="11"/>
      <c r="C19" s="15"/>
      <c r="D19" s="12" t="str">
        <f aca="false">IFERROR(IF(B19="","",INDEX('2 Property'!$H$5:$H$25,MATCH(A19,'2 Property'!$A$5:$A$25,0))*365*(C19/10000)*B19),"")</f>
        <v/>
      </c>
      <c r="E19" s="15"/>
      <c r="F19" s="15"/>
      <c r="G19" s="15"/>
      <c r="H19" s="15"/>
      <c r="I19" s="15"/>
      <c r="J19" s="16" t="str">
        <f aca="false">IF(B19="","",10000-E19-F19-G19-H19-I19)</f>
        <v/>
      </c>
      <c r="K19" s="11"/>
      <c r="L19" s="9"/>
    </row>
    <row r="20" customFormat="false" ht="15" hidden="false" customHeight="false" outlineLevel="0" collapsed="false">
      <c r="A20" s="9"/>
      <c r="B20" s="11"/>
      <c r="C20" s="15"/>
      <c r="D20" s="12" t="str">
        <f aca="false">IFERROR(IF(B20="","",INDEX('2 Property'!$H$5:$H$25,MATCH(A20,'2 Property'!$A$5:$A$25,0))*365*(C20/10000)*B20),"")</f>
        <v/>
      </c>
      <c r="E20" s="15"/>
      <c r="F20" s="15"/>
      <c r="G20" s="15"/>
      <c r="H20" s="15"/>
      <c r="I20" s="15"/>
      <c r="J20" s="16" t="str">
        <f aca="false">IF(B20="","",10000-E20-F20-G20-H20-I20)</f>
        <v/>
      </c>
      <c r="K20" s="11"/>
      <c r="L20" s="9"/>
    </row>
    <row r="21" customFormat="false" ht="15" hidden="false" customHeight="false" outlineLevel="0" collapsed="false">
      <c r="A21" s="9"/>
      <c r="B21" s="11"/>
      <c r="C21" s="15"/>
      <c r="D21" s="12" t="str">
        <f aca="false">IFERROR(IF(B21="","",INDEX('2 Property'!$H$5:$H$25,MATCH(A21,'2 Property'!$A$5:$A$25,0))*365*(C21/10000)*B21),"")</f>
        <v/>
      </c>
      <c r="E21" s="15"/>
      <c r="F21" s="15"/>
      <c r="G21" s="15"/>
      <c r="H21" s="15"/>
      <c r="I21" s="15"/>
      <c r="J21" s="16" t="str">
        <f aca="false">IF(B21="","",10000-E21-F21-G21-H21-I21)</f>
        <v/>
      </c>
      <c r="K21" s="11"/>
      <c r="L21" s="9"/>
    </row>
    <row r="22" customFormat="false" ht="15" hidden="false" customHeight="false" outlineLevel="0" collapsed="false">
      <c r="A22" s="9"/>
      <c r="B22" s="11"/>
      <c r="C22" s="15"/>
      <c r="D22" s="12" t="str">
        <f aca="false">IFERROR(IF(B22="","",INDEX('2 Property'!$H$5:$H$25,MATCH(A22,'2 Property'!$A$5:$A$25,0))*365*(C22/10000)*B22),"")</f>
        <v/>
      </c>
      <c r="E22" s="15"/>
      <c r="F22" s="15"/>
      <c r="G22" s="15"/>
      <c r="H22" s="15"/>
      <c r="I22" s="15"/>
      <c r="J22" s="16" t="str">
        <f aca="false">IF(B22="","",10000-E22-F22-G22-H22-I22)</f>
        <v/>
      </c>
      <c r="K22" s="11"/>
      <c r="L22" s="9"/>
    </row>
    <row r="23" customFormat="false" ht="15" hidden="false" customHeight="false" outlineLevel="0" collapsed="false">
      <c r="A23" s="9"/>
      <c r="B23" s="11"/>
      <c r="C23" s="15"/>
      <c r="D23" s="12" t="str">
        <f aca="false">IFERROR(IF(B23="","",INDEX('2 Property'!$H$5:$H$25,MATCH(A23,'2 Property'!$A$5:$A$25,0))*365*(C23/10000)*B23),"")</f>
        <v/>
      </c>
      <c r="E23" s="15"/>
      <c r="F23" s="15"/>
      <c r="G23" s="15"/>
      <c r="H23" s="15"/>
      <c r="I23" s="15"/>
      <c r="J23" s="16" t="str">
        <f aca="false">IF(B23="","",10000-E23-F23-G23-H23-I23)</f>
        <v/>
      </c>
      <c r="K23" s="11"/>
      <c r="L23" s="9"/>
    </row>
    <row r="24" customFormat="false" ht="15" hidden="false" customHeight="false" outlineLevel="0" collapsed="false">
      <c r="A24" s="9"/>
      <c r="B24" s="11"/>
      <c r="C24" s="15"/>
      <c r="D24" s="12" t="str">
        <f aca="false">IFERROR(IF(B24="","",INDEX('2 Property'!$H$5:$H$25,MATCH(A24,'2 Property'!$A$5:$A$25,0))*365*(C24/10000)*B24),"")</f>
        <v/>
      </c>
      <c r="E24" s="15"/>
      <c r="F24" s="15"/>
      <c r="G24" s="15"/>
      <c r="H24" s="15"/>
      <c r="I24" s="15"/>
      <c r="J24" s="16" t="str">
        <f aca="false">IF(B24="","",10000-E24-F24-G24-H24-I24)</f>
        <v/>
      </c>
      <c r="K24" s="11"/>
      <c r="L24" s="9"/>
    </row>
    <row r="25" customFormat="false" ht="15" hidden="false" customHeight="false" outlineLevel="0" collapsed="false">
      <c r="A25" s="9"/>
      <c r="B25" s="11"/>
      <c r="C25" s="15"/>
      <c r="D25" s="12" t="str">
        <f aca="false">IFERROR(IF(B25="","",INDEX('2 Property'!$H$5:$H$25,MATCH(A25,'2 Property'!$A$5:$A$25,0))*365*(C25/10000)*B25),"")</f>
        <v/>
      </c>
      <c r="E25" s="15"/>
      <c r="F25" s="15"/>
      <c r="G25" s="15"/>
      <c r="H25" s="15"/>
      <c r="I25" s="15"/>
      <c r="J25" s="16" t="str">
        <f aca="false">IF(B25="","",10000-E25-F25-G25-H25-I25)</f>
        <v/>
      </c>
      <c r="K25" s="11"/>
      <c r="L25" s="9"/>
    </row>
  </sheetData>
  <mergeCells count="1">
    <mergeCell ref="A2:L2"/>
  </mergeCells>
  <dataValidations count="1">
    <dataValidation allowBlank="true" error="Not one of the permitted values. The application enforces this enum." errorStyle="stop" errorTitle="Closed value set" operator="between" showDropDown="false" showErrorMessage="false" showInputMessage="false" sqref="L5:L25" type="list">
      <formula1>"observed,verified,modelled,estimated,forecast,pending"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7F43"/>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5" min="2" style="0" width="14"/>
    <col collapsed="false" customWidth="true" hidden="false" outlineLevel="0" max="6" min="6" style="0" width="32"/>
    <col collapsed="false" customWidth="true" hidden="false" outlineLevel="0" max="7" min="7" style="0" width="16"/>
    <col collapsed="false" customWidth="true" hidden="false" outlineLevel="0" max="8" min="8" style="0" width="26"/>
  </cols>
  <sheetData>
    <row r="1" customFormat="false" ht="19.7" hidden="false" customHeight="false" outlineLevel="0" collapsed="false">
      <c r="A1" s="1" t="s">
        <v>107</v>
      </c>
    </row>
    <row r="2" customFormat="false" ht="31.5" hidden="false" customHeight="true" outlineLevel="0" collapsed="false">
      <c r="A2" s="6" t="s">
        <v>108</v>
      </c>
      <c r="B2" s="6"/>
      <c r="C2" s="6"/>
      <c r="D2" s="6"/>
      <c r="E2" s="6"/>
      <c r="F2" s="6"/>
      <c r="G2" s="6"/>
      <c r="H2" s="6"/>
    </row>
    <row r="4" customFormat="false" ht="42" hidden="false" customHeight="true" outlineLevel="0" collapsed="false">
      <c r="A4" s="7" t="s">
        <v>28</v>
      </c>
      <c r="B4" s="7" t="s">
        <v>109</v>
      </c>
      <c r="C4" s="7" t="s">
        <v>110</v>
      </c>
      <c r="D4" s="7" t="s">
        <v>111</v>
      </c>
      <c r="E4" s="7" t="s">
        <v>112</v>
      </c>
      <c r="F4" s="7" t="s">
        <v>113</v>
      </c>
      <c r="G4" s="7" t="s">
        <v>114</v>
      </c>
      <c r="H4" s="7" t="s">
        <v>115</v>
      </c>
    </row>
    <row r="5" customFormat="false" ht="15" hidden="false" customHeight="false" outlineLevel="0" collapsed="false">
      <c r="A5" s="8" t="s">
        <v>40</v>
      </c>
      <c r="B5" s="13" t="n">
        <v>180</v>
      </c>
      <c r="C5" s="13" t="n">
        <v>210</v>
      </c>
      <c r="D5" s="13" t="n">
        <f aca="false">IFERROR(IF(B5="","",FLOOR(B5*INDEX('4 Units &amp; ladder'!$B$5:$B$25,MATCH(A5,'4 Units &amp; ladder'!$A$5:$A$25,0))/10000,1)),"")</f>
        <v>9</v>
      </c>
      <c r="E5" s="13" t="n">
        <v>0</v>
      </c>
      <c r="F5" s="8"/>
      <c r="G5" s="8" t="s">
        <v>116</v>
      </c>
      <c r="H5" s="8"/>
    </row>
    <row r="6" customFormat="false" ht="15" hidden="false" customHeight="false" outlineLevel="0" collapsed="false">
      <c r="A6" s="9"/>
      <c r="B6" s="15"/>
      <c r="C6" s="15"/>
      <c r="D6" s="16" t="str">
        <f aca="false">IFERROR(IF(B6="","",FLOOR(B6*INDEX('4 Units &amp; ladder'!$B$5:$B$25,MATCH(A6,'4 Units &amp; ladder'!$A$5:$A$25,0))/10000,1)),"")</f>
        <v/>
      </c>
      <c r="E6" s="15"/>
      <c r="F6" s="9"/>
      <c r="G6" s="9"/>
      <c r="H6" s="9"/>
    </row>
    <row r="7" customFormat="false" ht="15" hidden="false" customHeight="false" outlineLevel="0" collapsed="false">
      <c r="A7" s="9"/>
      <c r="B7" s="15"/>
      <c r="C7" s="15"/>
      <c r="D7" s="16" t="str">
        <f aca="false">IFERROR(IF(B7="","",FLOOR(B7*INDEX('4 Units &amp; ladder'!$B$5:$B$25,MATCH(A7,'4 Units &amp; ladder'!$A$5:$A$25,0))/10000,1)),"")</f>
        <v/>
      </c>
      <c r="E7" s="15"/>
      <c r="F7" s="9"/>
      <c r="G7" s="9"/>
      <c r="H7" s="9"/>
    </row>
    <row r="8" customFormat="false" ht="15" hidden="false" customHeight="false" outlineLevel="0" collapsed="false">
      <c r="A8" s="9"/>
      <c r="B8" s="15"/>
      <c r="C8" s="15"/>
      <c r="D8" s="16" t="str">
        <f aca="false">IFERROR(IF(B8="","",FLOOR(B8*INDEX('4 Units &amp; ladder'!$B$5:$B$25,MATCH(A8,'4 Units &amp; ladder'!$A$5:$A$25,0))/10000,1)),"")</f>
        <v/>
      </c>
      <c r="E8" s="15"/>
      <c r="F8" s="9"/>
      <c r="G8" s="9"/>
      <c r="H8" s="9"/>
    </row>
    <row r="9" customFormat="false" ht="15" hidden="false" customHeight="false" outlineLevel="0" collapsed="false">
      <c r="A9" s="9"/>
      <c r="B9" s="15"/>
      <c r="C9" s="15"/>
      <c r="D9" s="16" t="str">
        <f aca="false">IFERROR(IF(B9="","",FLOOR(B9*INDEX('4 Units &amp; ladder'!$B$5:$B$25,MATCH(A9,'4 Units &amp; ladder'!$A$5:$A$25,0))/10000,1)),"")</f>
        <v/>
      </c>
      <c r="E9" s="15"/>
      <c r="F9" s="9"/>
      <c r="G9" s="9"/>
      <c r="H9" s="9"/>
    </row>
    <row r="10" customFormat="false" ht="15" hidden="false" customHeight="false" outlineLevel="0" collapsed="false">
      <c r="A10" s="9"/>
      <c r="B10" s="15"/>
      <c r="C10" s="15"/>
      <c r="D10" s="16" t="str">
        <f aca="false">IFERROR(IF(B10="","",FLOOR(B10*INDEX('4 Units &amp; ladder'!$B$5:$B$25,MATCH(A10,'4 Units &amp; ladder'!$A$5:$A$25,0))/10000,1)),"")</f>
        <v/>
      </c>
      <c r="E10" s="15"/>
      <c r="F10" s="9"/>
      <c r="G10" s="9"/>
      <c r="H10" s="9"/>
    </row>
    <row r="11" customFormat="false" ht="15" hidden="false" customHeight="false" outlineLevel="0" collapsed="false">
      <c r="A11" s="9"/>
      <c r="B11" s="15"/>
      <c r="C11" s="15"/>
      <c r="D11" s="16" t="str">
        <f aca="false">IFERROR(IF(B11="","",FLOOR(B11*INDEX('4 Units &amp; ladder'!$B$5:$B$25,MATCH(A11,'4 Units &amp; ladder'!$A$5:$A$25,0))/10000,1)),"")</f>
        <v/>
      </c>
      <c r="E11" s="15"/>
      <c r="F11" s="9"/>
      <c r="G11" s="9"/>
      <c r="H11" s="9"/>
    </row>
    <row r="12" customFormat="false" ht="15" hidden="false" customHeight="false" outlineLevel="0" collapsed="false">
      <c r="A12" s="9"/>
      <c r="B12" s="15"/>
      <c r="C12" s="15"/>
      <c r="D12" s="16" t="str">
        <f aca="false">IFERROR(IF(B12="","",FLOOR(B12*INDEX('4 Units &amp; ladder'!$B$5:$B$25,MATCH(A12,'4 Units &amp; ladder'!$A$5:$A$25,0))/10000,1)),"")</f>
        <v/>
      </c>
      <c r="E12" s="15"/>
      <c r="F12" s="9"/>
      <c r="G12" s="9"/>
      <c r="H12" s="9"/>
    </row>
    <row r="13" customFormat="false" ht="15" hidden="false" customHeight="false" outlineLevel="0" collapsed="false">
      <c r="A13" s="9"/>
      <c r="B13" s="15"/>
      <c r="C13" s="15"/>
      <c r="D13" s="16" t="str">
        <f aca="false">IFERROR(IF(B13="","",FLOOR(B13*INDEX('4 Units &amp; ladder'!$B$5:$B$25,MATCH(A13,'4 Units &amp; ladder'!$A$5:$A$25,0))/10000,1)),"")</f>
        <v/>
      </c>
      <c r="E13" s="15"/>
      <c r="F13" s="9"/>
      <c r="G13" s="9"/>
      <c r="H13" s="9"/>
    </row>
    <row r="14" customFormat="false" ht="15" hidden="false" customHeight="false" outlineLevel="0" collapsed="false">
      <c r="A14" s="9"/>
      <c r="B14" s="15"/>
      <c r="C14" s="15"/>
      <c r="D14" s="16" t="str">
        <f aca="false">IFERROR(IF(B14="","",FLOOR(B14*INDEX('4 Units &amp; ladder'!$B$5:$B$25,MATCH(A14,'4 Units &amp; ladder'!$A$5:$A$25,0))/10000,1)),"")</f>
        <v/>
      </c>
      <c r="E14" s="15"/>
      <c r="F14" s="9"/>
      <c r="G14" s="9"/>
      <c r="H14" s="9"/>
    </row>
    <row r="15" customFormat="false" ht="15" hidden="false" customHeight="false" outlineLevel="0" collapsed="false">
      <c r="A15" s="9"/>
      <c r="B15" s="15"/>
      <c r="C15" s="15"/>
      <c r="D15" s="16" t="str">
        <f aca="false">IFERROR(IF(B15="","",FLOOR(B15*INDEX('4 Units &amp; ladder'!$B$5:$B$25,MATCH(A15,'4 Units &amp; ladder'!$A$5:$A$25,0))/10000,1)),"")</f>
        <v/>
      </c>
      <c r="E15" s="15"/>
      <c r="F15" s="9"/>
      <c r="G15" s="9"/>
      <c r="H15" s="9"/>
    </row>
    <row r="16" customFormat="false" ht="15" hidden="false" customHeight="false" outlineLevel="0" collapsed="false">
      <c r="A16" s="9"/>
      <c r="B16" s="15"/>
      <c r="C16" s="15"/>
      <c r="D16" s="16" t="str">
        <f aca="false">IFERROR(IF(B16="","",FLOOR(B16*INDEX('4 Units &amp; ladder'!$B$5:$B$25,MATCH(A16,'4 Units &amp; ladder'!$A$5:$A$25,0))/10000,1)),"")</f>
        <v/>
      </c>
      <c r="E16" s="15"/>
      <c r="F16" s="9"/>
      <c r="G16" s="9"/>
      <c r="H16" s="9"/>
    </row>
    <row r="17" customFormat="false" ht="15" hidden="false" customHeight="false" outlineLevel="0" collapsed="false">
      <c r="A17" s="9"/>
      <c r="B17" s="15"/>
      <c r="C17" s="15"/>
      <c r="D17" s="16" t="str">
        <f aca="false">IFERROR(IF(B17="","",FLOOR(B17*INDEX('4 Units &amp; ladder'!$B$5:$B$25,MATCH(A17,'4 Units &amp; ladder'!$A$5:$A$25,0))/10000,1)),"")</f>
        <v/>
      </c>
      <c r="E17" s="15"/>
      <c r="F17" s="9"/>
      <c r="G17" s="9"/>
      <c r="H17" s="9"/>
    </row>
    <row r="18" customFormat="false" ht="15" hidden="false" customHeight="false" outlineLevel="0" collapsed="false">
      <c r="A18" s="9"/>
      <c r="B18" s="15"/>
      <c r="C18" s="15"/>
      <c r="D18" s="16" t="str">
        <f aca="false">IFERROR(IF(B18="","",FLOOR(B18*INDEX('4 Units &amp; ladder'!$B$5:$B$25,MATCH(A18,'4 Units &amp; ladder'!$A$5:$A$25,0))/10000,1)),"")</f>
        <v/>
      </c>
      <c r="E18" s="15"/>
      <c r="F18" s="9"/>
      <c r="G18" s="9"/>
      <c r="H18" s="9"/>
    </row>
    <row r="19" customFormat="false" ht="15" hidden="false" customHeight="false" outlineLevel="0" collapsed="false">
      <c r="A19" s="9"/>
      <c r="B19" s="15"/>
      <c r="C19" s="15"/>
      <c r="D19" s="16" t="str">
        <f aca="false">IFERROR(IF(B19="","",FLOOR(B19*INDEX('4 Units &amp; ladder'!$B$5:$B$25,MATCH(A19,'4 Units &amp; ladder'!$A$5:$A$25,0))/10000,1)),"")</f>
        <v/>
      </c>
      <c r="E19" s="15"/>
      <c r="F19" s="9"/>
      <c r="G19" s="9"/>
      <c r="H19" s="9"/>
    </row>
    <row r="20" customFormat="false" ht="15" hidden="false" customHeight="false" outlineLevel="0" collapsed="false">
      <c r="A20" s="9"/>
      <c r="B20" s="15"/>
      <c r="C20" s="15"/>
      <c r="D20" s="16" t="str">
        <f aca="false">IFERROR(IF(B20="","",FLOOR(B20*INDEX('4 Units &amp; ladder'!$B$5:$B$25,MATCH(A20,'4 Units &amp; ladder'!$A$5:$A$25,0))/10000,1)),"")</f>
        <v/>
      </c>
      <c r="E20" s="15"/>
      <c r="F20" s="9"/>
      <c r="G20" s="9"/>
      <c r="H20" s="9"/>
    </row>
    <row r="21" customFormat="false" ht="15" hidden="false" customHeight="false" outlineLevel="0" collapsed="false">
      <c r="A21" s="9"/>
      <c r="B21" s="15"/>
      <c r="C21" s="15"/>
      <c r="D21" s="16" t="str">
        <f aca="false">IFERROR(IF(B21="","",FLOOR(B21*INDEX('4 Units &amp; ladder'!$B$5:$B$25,MATCH(A21,'4 Units &amp; ladder'!$A$5:$A$25,0))/10000,1)),"")</f>
        <v/>
      </c>
      <c r="E21" s="15"/>
      <c r="F21" s="9"/>
      <c r="G21" s="9"/>
      <c r="H21" s="9"/>
    </row>
    <row r="22" customFormat="false" ht="15" hidden="false" customHeight="false" outlineLevel="0" collapsed="false">
      <c r="A22" s="9"/>
      <c r="B22" s="15"/>
      <c r="C22" s="15"/>
      <c r="D22" s="16" t="str">
        <f aca="false">IFERROR(IF(B22="","",FLOOR(B22*INDEX('4 Units &amp; ladder'!$B$5:$B$25,MATCH(A22,'4 Units &amp; ladder'!$A$5:$A$25,0))/10000,1)),"")</f>
        <v/>
      </c>
      <c r="E22" s="15"/>
      <c r="F22" s="9"/>
      <c r="G22" s="9"/>
      <c r="H22" s="9"/>
    </row>
    <row r="23" customFormat="false" ht="15" hidden="false" customHeight="false" outlineLevel="0" collapsed="false">
      <c r="A23" s="9"/>
      <c r="B23" s="15"/>
      <c r="C23" s="15"/>
      <c r="D23" s="16" t="str">
        <f aca="false">IFERROR(IF(B23="","",FLOOR(B23*INDEX('4 Units &amp; ladder'!$B$5:$B$25,MATCH(A23,'4 Units &amp; ladder'!$A$5:$A$25,0))/10000,1)),"")</f>
        <v/>
      </c>
      <c r="E23" s="15"/>
      <c r="F23" s="9"/>
      <c r="G23" s="9"/>
      <c r="H23" s="9"/>
    </row>
    <row r="24" customFormat="false" ht="15" hidden="false" customHeight="false" outlineLevel="0" collapsed="false">
      <c r="A24" s="9"/>
      <c r="B24" s="15"/>
      <c r="C24" s="15"/>
      <c r="D24" s="16" t="str">
        <f aca="false">IFERROR(IF(B24="","",FLOOR(B24*INDEX('4 Units &amp; ladder'!$B$5:$B$25,MATCH(A24,'4 Units &amp; ladder'!$A$5:$A$25,0))/10000,1)),"")</f>
        <v/>
      </c>
      <c r="E24" s="15"/>
      <c r="F24" s="9"/>
      <c r="G24" s="9"/>
      <c r="H24" s="9"/>
    </row>
    <row r="25" customFormat="false" ht="15" hidden="false" customHeight="false" outlineLevel="0" collapsed="false">
      <c r="A25" s="9"/>
      <c r="B25" s="15"/>
      <c r="C25" s="15"/>
      <c r="D25" s="16" t="str">
        <f aca="false">IFERROR(IF(B25="","",FLOOR(B25*INDEX('4 Units &amp; ladder'!$B$5:$B$25,MATCH(A25,'4 Units &amp; ladder'!$A$5:$A$25,0))/10000,1)),"")</f>
        <v/>
      </c>
      <c r="E25" s="15"/>
      <c r="F25" s="9"/>
      <c r="G25" s="9"/>
      <c r="H25" s="9"/>
    </row>
  </sheetData>
  <mergeCells count="1">
    <mergeCell ref="A2:H2"/>
  </mergeCells>
  <dataValidations count="1">
    <dataValidation allowBlank="true" error="Not one of the permitted values. The application enforces this enum." errorStyle="stop" errorTitle="Closed value set" operator="between" showDropDown="false" showErrorMessage="false" showInputMessage="false" sqref="H5:H25" type="list">
      <formula1>"lapse,roll_over,convert,undecided"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9A9A"/>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5" min="5" style="0" width="40"/>
    <col collapsed="false" customWidth="true" hidden="false" outlineLevel="0" max="6" min="6" style="0" width="34"/>
    <col collapsed="false" customWidth="true" hidden="false" outlineLevel="0" max="7" min="7" style="0" width="30"/>
  </cols>
  <sheetData>
    <row r="1" customFormat="false" ht="19.7" hidden="false" customHeight="false" outlineLevel="0" collapsed="false">
      <c r="A1" s="1" t="s">
        <v>117</v>
      </c>
    </row>
    <row r="2" customFormat="false" ht="31.5" hidden="false" customHeight="true" outlineLevel="0" collapsed="false">
      <c r="A2" s="6" t="s">
        <v>118</v>
      </c>
      <c r="B2" s="6"/>
      <c r="C2" s="6"/>
      <c r="D2" s="6"/>
      <c r="E2" s="6"/>
      <c r="F2" s="6"/>
      <c r="G2" s="6"/>
    </row>
    <row r="4" customFormat="false" ht="42" hidden="false" customHeight="true" outlineLevel="0" collapsed="false">
      <c r="A4" s="7" t="s">
        <v>28</v>
      </c>
      <c r="B4" s="7" t="s">
        <v>119</v>
      </c>
      <c r="C4" s="7" t="s">
        <v>120</v>
      </c>
      <c r="D4" s="7" t="s">
        <v>121</v>
      </c>
      <c r="E4" s="7" t="s">
        <v>122</v>
      </c>
      <c r="F4" s="7" t="s">
        <v>123</v>
      </c>
      <c r="G4" s="7" t="s">
        <v>124</v>
      </c>
    </row>
    <row r="5" customFormat="false" ht="15" hidden="false" customHeight="false" outlineLevel="0" collapsed="false">
      <c r="A5" s="8" t="s">
        <v>40</v>
      </c>
      <c r="B5" s="13" t="n">
        <v>5001</v>
      </c>
      <c r="C5" s="13" t="n">
        <v>7600</v>
      </c>
      <c r="D5" s="13" t="n">
        <v>6000</v>
      </c>
      <c r="E5" s="8" t="s">
        <v>125</v>
      </c>
      <c r="F5" s="8" t="s">
        <v>126</v>
      </c>
      <c r="G5" s="8"/>
    </row>
    <row r="6" customFormat="false" ht="15" hidden="false" customHeight="false" outlineLevel="0" collapsed="false">
      <c r="A6" s="9"/>
      <c r="B6" s="15"/>
      <c r="C6" s="15"/>
      <c r="D6" s="15"/>
      <c r="E6" s="9"/>
      <c r="F6" s="9"/>
      <c r="G6" s="9"/>
    </row>
    <row r="7" customFormat="false" ht="15" hidden="false" customHeight="false" outlineLevel="0" collapsed="false">
      <c r="A7" s="9"/>
      <c r="B7" s="15"/>
      <c r="C7" s="15"/>
      <c r="D7" s="15"/>
      <c r="E7" s="9"/>
      <c r="F7" s="9"/>
      <c r="G7" s="9"/>
    </row>
    <row r="8" customFormat="false" ht="15" hidden="false" customHeight="false" outlineLevel="0" collapsed="false">
      <c r="A8" s="9"/>
      <c r="B8" s="15"/>
      <c r="C8" s="15"/>
      <c r="D8" s="15"/>
      <c r="E8" s="9"/>
      <c r="F8" s="9"/>
      <c r="G8" s="9"/>
    </row>
    <row r="9" customFormat="false" ht="15" hidden="false" customHeight="false" outlineLevel="0" collapsed="false">
      <c r="A9" s="9"/>
      <c r="B9" s="15"/>
      <c r="C9" s="15"/>
      <c r="D9" s="15"/>
      <c r="E9" s="9"/>
      <c r="F9" s="9"/>
      <c r="G9" s="9"/>
    </row>
    <row r="10" customFormat="false" ht="15" hidden="false" customHeight="false" outlineLevel="0" collapsed="false">
      <c r="A10" s="9"/>
      <c r="B10" s="15"/>
      <c r="C10" s="15"/>
      <c r="D10" s="15"/>
      <c r="E10" s="9"/>
      <c r="F10" s="9"/>
      <c r="G10" s="9"/>
    </row>
    <row r="11" customFormat="false" ht="15" hidden="false" customHeight="false" outlineLevel="0" collapsed="false">
      <c r="A11" s="9"/>
      <c r="B11" s="15"/>
      <c r="C11" s="15"/>
      <c r="D11" s="15"/>
      <c r="E11" s="9"/>
      <c r="F11" s="9"/>
      <c r="G11" s="9"/>
    </row>
    <row r="12" customFormat="false" ht="15" hidden="false" customHeight="false" outlineLevel="0" collapsed="false">
      <c r="A12" s="9"/>
      <c r="B12" s="15"/>
      <c r="C12" s="15"/>
      <c r="D12" s="15"/>
      <c r="E12" s="9"/>
      <c r="F12" s="9"/>
      <c r="G12" s="9"/>
    </row>
    <row r="13" customFormat="false" ht="15" hidden="false" customHeight="false" outlineLevel="0" collapsed="false">
      <c r="A13" s="9"/>
      <c r="B13" s="15"/>
      <c r="C13" s="15"/>
      <c r="D13" s="15"/>
      <c r="E13" s="9"/>
      <c r="F13" s="9"/>
      <c r="G13" s="9"/>
    </row>
    <row r="14" customFormat="false" ht="15" hidden="false" customHeight="false" outlineLevel="0" collapsed="false">
      <c r="A14" s="9"/>
      <c r="B14" s="15"/>
      <c r="C14" s="15"/>
      <c r="D14" s="15"/>
      <c r="E14" s="9"/>
      <c r="F14" s="9"/>
      <c r="G14" s="9"/>
    </row>
    <row r="15" customFormat="false" ht="15" hidden="false" customHeight="false" outlineLevel="0" collapsed="false">
      <c r="A15" s="9"/>
      <c r="B15" s="15"/>
      <c r="C15" s="15"/>
      <c r="D15" s="15"/>
      <c r="E15" s="9"/>
      <c r="F15" s="9"/>
      <c r="G15" s="9"/>
    </row>
    <row r="16" customFormat="false" ht="15" hidden="false" customHeight="false" outlineLevel="0" collapsed="false">
      <c r="A16" s="9"/>
      <c r="B16" s="15"/>
      <c r="C16" s="15"/>
      <c r="D16" s="15"/>
      <c r="E16" s="9"/>
      <c r="F16" s="9"/>
      <c r="G16" s="9"/>
    </row>
    <row r="17" customFormat="false" ht="15" hidden="false" customHeight="false" outlineLevel="0" collapsed="false">
      <c r="A17" s="9"/>
      <c r="B17" s="15"/>
      <c r="C17" s="15"/>
      <c r="D17" s="15"/>
      <c r="E17" s="9"/>
      <c r="F17" s="9"/>
      <c r="G17" s="9"/>
    </row>
    <row r="18" customFormat="false" ht="15" hidden="false" customHeight="false" outlineLevel="0" collapsed="false">
      <c r="A18" s="9"/>
      <c r="B18" s="15"/>
      <c r="C18" s="15"/>
      <c r="D18" s="15"/>
      <c r="E18" s="9"/>
      <c r="F18" s="9"/>
      <c r="G18" s="9"/>
    </row>
    <row r="19" customFormat="false" ht="15" hidden="false" customHeight="false" outlineLevel="0" collapsed="false">
      <c r="A19" s="9"/>
      <c r="B19" s="15"/>
      <c r="C19" s="15"/>
      <c r="D19" s="15"/>
      <c r="E19" s="9"/>
      <c r="F19" s="9"/>
      <c r="G19" s="9"/>
    </row>
    <row r="20" customFormat="false" ht="15" hidden="false" customHeight="false" outlineLevel="0" collapsed="false">
      <c r="A20" s="9"/>
      <c r="B20" s="15"/>
      <c r="C20" s="15"/>
      <c r="D20" s="15"/>
      <c r="E20" s="9"/>
      <c r="F20" s="9"/>
      <c r="G20" s="9"/>
    </row>
    <row r="21" customFormat="false" ht="15" hidden="false" customHeight="false" outlineLevel="0" collapsed="false">
      <c r="A21" s="9"/>
      <c r="B21" s="15"/>
      <c r="C21" s="15"/>
      <c r="D21" s="15"/>
      <c r="E21" s="9"/>
      <c r="F21" s="9"/>
      <c r="G21" s="9"/>
    </row>
    <row r="22" customFormat="false" ht="15" hidden="false" customHeight="false" outlineLevel="0" collapsed="false">
      <c r="A22" s="9"/>
      <c r="B22" s="15"/>
      <c r="C22" s="15"/>
      <c r="D22" s="15"/>
      <c r="E22" s="9"/>
      <c r="F22" s="9"/>
      <c r="G22" s="9"/>
    </row>
    <row r="23" customFormat="false" ht="15" hidden="false" customHeight="false" outlineLevel="0" collapsed="false">
      <c r="A23" s="9"/>
      <c r="B23" s="15"/>
      <c r="C23" s="15"/>
      <c r="D23" s="15"/>
      <c r="E23" s="9"/>
      <c r="F23" s="9"/>
      <c r="G23" s="9"/>
    </row>
    <row r="24" customFormat="false" ht="15" hidden="false" customHeight="false" outlineLevel="0" collapsed="false">
      <c r="A24" s="9"/>
      <c r="B24" s="15"/>
      <c r="C24" s="15"/>
      <c r="D24" s="15"/>
      <c r="E24" s="9"/>
      <c r="F24" s="9"/>
      <c r="G24" s="9"/>
    </row>
    <row r="25" customFormat="false" ht="15" hidden="false" customHeight="false" outlineLevel="0" collapsed="false">
      <c r="A25" s="9"/>
      <c r="B25" s="15"/>
      <c r="C25" s="15"/>
      <c r="D25" s="15"/>
      <c r="E25" s="9"/>
      <c r="F25" s="9"/>
      <c r="G25" s="9"/>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B"/>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10"/>
  </cols>
  <sheetData>
    <row r="1" customFormat="false" ht="19.7" hidden="false" customHeight="false" outlineLevel="0" collapsed="false">
      <c r="A1" s="1" t="s">
        <v>127</v>
      </c>
    </row>
    <row r="2" customFormat="false" ht="31.5" hidden="false" customHeight="true" outlineLevel="0" collapsed="false">
      <c r="A2" s="6" t="s">
        <v>128</v>
      </c>
      <c r="B2" s="6"/>
      <c r="C2" s="6"/>
      <c r="D2" s="6"/>
      <c r="E2" s="6"/>
      <c r="F2" s="6"/>
    </row>
    <row r="4" customFormat="false" ht="42" hidden="false" customHeight="true" outlineLevel="0" collapsed="false">
      <c r="A4" s="7" t="s">
        <v>28</v>
      </c>
      <c r="B4" s="7" t="s">
        <v>129</v>
      </c>
      <c r="C4" s="7" t="s">
        <v>130</v>
      </c>
      <c r="D4" s="7" t="s">
        <v>131</v>
      </c>
      <c r="E4" s="7" t="s">
        <v>132</v>
      </c>
      <c r="F4" s="7" t="s">
        <v>133</v>
      </c>
    </row>
    <row r="5" customFormat="false" ht="15" hidden="false" customHeight="false" outlineLevel="0" collapsed="false">
      <c r="A5" s="8" t="s">
        <v>40</v>
      </c>
      <c r="B5" s="8" t="s">
        <v>134</v>
      </c>
      <c r="C5" s="8" t="s">
        <v>135</v>
      </c>
      <c r="D5" s="8" t="s">
        <v>136</v>
      </c>
      <c r="E5" s="8" t="s">
        <v>137</v>
      </c>
      <c r="F5" s="8" t="s">
        <v>49</v>
      </c>
    </row>
    <row r="6" customFormat="false" ht="15" hidden="false" customHeight="false" outlineLevel="0" collapsed="false">
      <c r="A6" s="8" t="s">
        <v>40</v>
      </c>
      <c r="B6" s="8" t="s">
        <v>138</v>
      </c>
      <c r="C6" s="8" t="s">
        <v>139</v>
      </c>
      <c r="D6" s="8" t="s">
        <v>140</v>
      </c>
      <c r="E6" s="8" t="s">
        <v>141</v>
      </c>
      <c r="F6" s="8" t="s">
        <v>142</v>
      </c>
    </row>
    <row r="7" customFormat="false" ht="15" hidden="false" customHeight="false" outlineLevel="0" collapsed="false">
      <c r="A7" s="8" t="s">
        <v>40</v>
      </c>
      <c r="B7" s="8" t="s">
        <v>143</v>
      </c>
      <c r="C7" s="8" t="s">
        <v>144</v>
      </c>
      <c r="D7" s="8" t="s">
        <v>145</v>
      </c>
      <c r="E7" s="8" t="s">
        <v>146</v>
      </c>
      <c r="F7" s="8" t="s">
        <v>142</v>
      </c>
    </row>
    <row r="8" customFormat="false" ht="15" hidden="false" customHeight="false" outlineLevel="0" collapsed="false">
      <c r="A8" s="8" t="s">
        <v>40</v>
      </c>
      <c r="B8" s="8" t="s">
        <v>147</v>
      </c>
      <c r="C8" s="8" t="s">
        <v>148</v>
      </c>
      <c r="D8" s="8" t="s">
        <v>149</v>
      </c>
      <c r="E8" s="8" t="s">
        <v>150</v>
      </c>
      <c r="F8" s="8" t="s">
        <v>142</v>
      </c>
    </row>
    <row r="9" customFormat="false" ht="15" hidden="false" customHeight="false" outlineLevel="0" collapsed="false">
      <c r="A9" s="9"/>
      <c r="B9" s="9"/>
      <c r="C9" s="9"/>
      <c r="D9" s="9"/>
      <c r="E9" s="9"/>
      <c r="F9" s="9"/>
    </row>
    <row r="10" customFormat="false" ht="15" hidden="false" customHeight="false" outlineLevel="0" collapsed="false">
      <c r="A10" s="9"/>
      <c r="B10" s="9"/>
      <c r="C10" s="9"/>
      <c r="D10" s="9"/>
      <c r="E10" s="9"/>
      <c r="F10" s="9"/>
    </row>
    <row r="11" customFormat="false" ht="15" hidden="false" customHeight="false" outlineLevel="0" collapsed="false">
      <c r="A11" s="9"/>
      <c r="B11" s="9"/>
      <c r="C11" s="9"/>
      <c r="D11" s="9"/>
      <c r="E11" s="9"/>
      <c r="F11" s="9"/>
    </row>
    <row r="12" customFormat="false" ht="15" hidden="false" customHeight="false" outlineLevel="0" collapsed="false">
      <c r="A12" s="9"/>
      <c r="B12" s="9"/>
      <c r="C12" s="9"/>
      <c r="D12" s="9"/>
      <c r="E12" s="9"/>
      <c r="F12" s="9"/>
    </row>
    <row r="13" customFormat="false" ht="15" hidden="false" customHeight="false" outlineLevel="0" collapsed="false">
      <c r="A13" s="9"/>
      <c r="B13" s="9"/>
      <c r="C13" s="9"/>
      <c r="D13" s="9"/>
      <c r="E13" s="9"/>
      <c r="F13" s="9"/>
    </row>
    <row r="14" customFormat="false" ht="15" hidden="false" customHeight="false" outlineLevel="0" collapsed="false">
      <c r="A14" s="9"/>
      <c r="B14" s="9"/>
      <c r="C14" s="9"/>
      <c r="D14" s="9"/>
      <c r="E14" s="9"/>
      <c r="F14" s="9"/>
    </row>
    <row r="15" customFormat="false" ht="15" hidden="false" customHeight="false" outlineLevel="0" collapsed="false">
      <c r="A15" s="9"/>
      <c r="B15" s="9"/>
      <c r="C15" s="9"/>
      <c r="D15" s="9"/>
      <c r="E15" s="9"/>
      <c r="F15" s="9"/>
    </row>
    <row r="16" customFormat="false" ht="15" hidden="false" customHeight="false" outlineLevel="0" collapsed="false">
      <c r="A16" s="9"/>
      <c r="B16" s="9"/>
      <c r="C16" s="9"/>
      <c r="D16" s="9"/>
      <c r="E16" s="9"/>
      <c r="F16" s="9"/>
    </row>
    <row r="17" customFormat="false" ht="15" hidden="false" customHeight="false" outlineLevel="0" collapsed="false">
      <c r="A17" s="9"/>
      <c r="B17" s="9"/>
      <c r="C17" s="9"/>
      <c r="D17" s="9"/>
      <c r="E17" s="9"/>
      <c r="F17" s="9"/>
    </row>
    <row r="18" customFormat="false" ht="15" hidden="false" customHeight="false" outlineLevel="0" collapsed="false">
      <c r="A18" s="9"/>
      <c r="B18" s="9"/>
      <c r="C18" s="9"/>
      <c r="D18" s="9"/>
      <c r="E18" s="9"/>
      <c r="F18" s="9"/>
    </row>
    <row r="19" customFormat="false" ht="15" hidden="false" customHeight="false" outlineLevel="0" collapsed="false">
      <c r="A19" s="9"/>
      <c r="B19" s="9"/>
      <c r="C19" s="9"/>
      <c r="D19" s="9"/>
      <c r="E19" s="9"/>
      <c r="F19" s="9"/>
    </row>
    <row r="20" customFormat="false" ht="15" hidden="false" customHeight="false" outlineLevel="0" collapsed="false">
      <c r="A20" s="9"/>
      <c r="B20" s="9"/>
      <c r="C20" s="9"/>
      <c r="D20" s="9"/>
      <c r="E20" s="9"/>
      <c r="F20" s="9"/>
    </row>
    <row r="21" customFormat="false" ht="15" hidden="false" customHeight="false" outlineLevel="0" collapsed="false">
      <c r="A21" s="9"/>
      <c r="B21" s="9"/>
      <c r="C21" s="9"/>
      <c r="D21" s="9"/>
      <c r="E21" s="9"/>
      <c r="F21" s="9"/>
    </row>
    <row r="22" customFormat="false" ht="15" hidden="false" customHeight="false" outlineLevel="0" collapsed="false">
      <c r="A22" s="9"/>
      <c r="B22" s="9"/>
      <c r="C22" s="9"/>
      <c r="D22" s="9"/>
      <c r="E22" s="9"/>
      <c r="F22" s="9"/>
    </row>
    <row r="23" customFormat="false" ht="15" hidden="false" customHeight="false" outlineLevel="0" collapsed="false">
      <c r="A23" s="9"/>
      <c r="B23" s="9"/>
      <c r="C23" s="9"/>
      <c r="D23" s="9"/>
      <c r="E23" s="9"/>
      <c r="F23" s="9"/>
    </row>
    <row r="24" customFormat="false" ht="15" hidden="false" customHeight="false" outlineLevel="0" collapsed="false">
      <c r="A24" s="9"/>
      <c r="B24" s="9"/>
      <c r="C24" s="9"/>
      <c r="D24" s="9"/>
      <c r="E24" s="9"/>
      <c r="F24" s="9"/>
    </row>
    <row r="25" customFormat="false" ht="15" hidden="false" customHeight="false" outlineLevel="0" collapsed="false">
      <c r="A25" s="9"/>
      <c r="B25" s="9"/>
      <c r="C25" s="9"/>
      <c r="D25" s="9"/>
      <c r="E25" s="9"/>
      <c r="F25" s="9"/>
    </row>
  </sheetData>
  <mergeCells count="1">
    <mergeCell ref="A2:F2"/>
  </mergeCells>
  <dataValidations count="1">
    <dataValidation allowBlank="true" error="Not one of the permitted values. The application enforces this enum." errorStyle="stop" errorTitle="Closed value set" operator="between" showDropDown="false" showErrorMessage="false" showInputMessage="false" sqref="F5:F6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30"/>
    <col collapsed="false" customWidth="true" hidden="false" outlineLevel="0" max="6" min="4" style="0" width="56"/>
    <col collapsed="false" customWidth="true" hidden="false" outlineLevel="0" max="7" min="7" style="0" width="22"/>
    <col collapsed="false" customWidth="true" hidden="false" outlineLevel="0" max="8" min="8" style="0" width="26"/>
  </cols>
  <sheetData>
    <row r="1" customFormat="false" ht="19.7" hidden="false" customHeight="false" outlineLevel="0" collapsed="false">
      <c r="A1" s="1" t="s">
        <v>151</v>
      </c>
    </row>
    <row r="2" customFormat="false" ht="31.5" hidden="false" customHeight="true" outlineLevel="0" collapsed="false">
      <c r="A2" s="6" t="s">
        <v>152</v>
      </c>
      <c r="B2" s="6"/>
      <c r="C2" s="6"/>
      <c r="D2" s="6"/>
      <c r="E2" s="6"/>
      <c r="F2" s="6"/>
      <c r="G2" s="6"/>
      <c r="H2" s="6"/>
    </row>
    <row r="4" customFormat="false" ht="42" hidden="false" customHeight="true" outlineLevel="0" collapsed="false">
      <c r="A4" s="7" t="s">
        <v>28</v>
      </c>
      <c r="B4" s="7" t="s">
        <v>153</v>
      </c>
      <c r="C4" s="7" t="s">
        <v>154</v>
      </c>
      <c r="D4" s="7" t="s">
        <v>155</v>
      </c>
      <c r="E4" s="7" t="s">
        <v>156</v>
      </c>
      <c r="F4" s="7" t="s">
        <v>157</v>
      </c>
      <c r="G4" s="7" t="s">
        <v>158</v>
      </c>
      <c r="H4" s="7" t="s">
        <v>159</v>
      </c>
    </row>
    <row r="5" customFormat="false" ht="15" hidden="false" customHeight="false" outlineLevel="0" collapsed="false">
      <c r="A5" s="8" t="s">
        <v>40</v>
      </c>
      <c r="B5" s="8" t="s">
        <v>160</v>
      </c>
      <c r="C5" s="8" t="s">
        <v>161</v>
      </c>
      <c r="D5" s="8" t="s">
        <v>162</v>
      </c>
      <c r="E5" s="8" t="s">
        <v>163</v>
      </c>
      <c r="F5" s="8" t="s">
        <v>164</v>
      </c>
      <c r="G5" s="8" t="s">
        <v>77</v>
      </c>
      <c r="H5" s="8" t="s">
        <v>80</v>
      </c>
    </row>
    <row r="6" customFormat="false" ht="15" hidden="false" customHeight="false" outlineLevel="0" collapsed="false">
      <c r="A6" s="9"/>
      <c r="B6" s="9"/>
      <c r="C6" s="9"/>
      <c r="D6" s="9"/>
      <c r="E6" s="9"/>
      <c r="F6" s="9"/>
      <c r="G6" s="9"/>
      <c r="H6" s="9"/>
    </row>
    <row r="7" customFormat="false" ht="15" hidden="false" customHeight="false" outlineLevel="0" collapsed="false">
      <c r="A7" s="9"/>
      <c r="B7" s="9"/>
      <c r="C7" s="9"/>
      <c r="D7" s="9"/>
      <c r="E7" s="9"/>
      <c r="F7" s="9"/>
      <c r="G7" s="9"/>
      <c r="H7" s="9"/>
    </row>
    <row r="8" customFormat="false" ht="15" hidden="false" customHeight="false" outlineLevel="0" collapsed="false">
      <c r="A8" s="9"/>
      <c r="B8" s="9"/>
      <c r="C8" s="9"/>
      <c r="D8" s="9"/>
      <c r="E8" s="9"/>
      <c r="F8" s="9"/>
      <c r="G8" s="9"/>
      <c r="H8" s="9"/>
    </row>
    <row r="9" customFormat="false" ht="15" hidden="false" customHeight="false" outlineLevel="0" collapsed="false">
      <c r="A9" s="9"/>
      <c r="B9" s="9"/>
      <c r="C9" s="9"/>
      <c r="D9" s="9"/>
      <c r="E9" s="9"/>
      <c r="F9" s="9"/>
      <c r="G9" s="9"/>
      <c r="H9" s="9"/>
    </row>
    <row r="10" customFormat="false" ht="15" hidden="false" customHeight="false" outlineLevel="0" collapsed="false">
      <c r="A10" s="9"/>
      <c r="B10" s="9"/>
      <c r="C10" s="9"/>
      <c r="D10" s="9"/>
      <c r="E10" s="9"/>
      <c r="F10" s="9"/>
      <c r="G10" s="9"/>
      <c r="H10" s="9"/>
    </row>
    <row r="11" customFormat="false" ht="15" hidden="false" customHeight="false" outlineLevel="0" collapsed="false">
      <c r="A11" s="9"/>
      <c r="B11" s="9"/>
      <c r="C11" s="9"/>
      <c r="D11" s="9"/>
      <c r="E11" s="9"/>
      <c r="F11" s="9"/>
      <c r="G11" s="9"/>
      <c r="H11" s="9"/>
    </row>
    <row r="12" customFormat="false" ht="15" hidden="false" customHeight="false" outlineLevel="0" collapsed="false">
      <c r="A12" s="9"/>
      <c r="B12" s="9"/>
      <c r="C12" s="9"/>
      <c r="D12" s="9"/>
      <c r="E12" s="9"/>
      <c r="F12" s="9"/>
      <c r="G12" s="9"/>
      <c r="H12" s="9"/>
    </row>
    <row r="13" customFormat="false" ht="15" hidden="false" customHeight="false" outlineLevel="0" collapsed="false">
      <c r="A13" s="9"/>
      <c r="B13" s="9"/>
      <c r="C13" s="9"/>
      <c r="D13" s="9"/>
      <c r="E13" s="9"/>
      <c r="F13" s="9"/>
      <c r="G13" s="9"/>
      <c r="H13" s="9"/>
    </row>
    <row r="14" customFormat="false" ht="15" hidden="false" customHeight="false" outlineLevel="0" collapsed="false">
      <c r="A14" s="9"/>
      <c r="B14" s="9"/>
      <c r="C14" s="9"/>
      <c r="D14" s="9"/>
      <c r="E14" s="9"/>
      <c r="F14" s="9"/>
      <c r="G14" s="9"/>
      <c r="H14" s="9"/>
    </row>
    <row r="15" customFormat="false" ht="15" hidden="false" customHeight="false" outlineLevel="0" collapsed="false">
      <c r="A15" s="9"/>
      <c r="B15" s="9"/>
      <c r="C15" s="9"/>
      <c r="D15" s="9"/>
      <c r="E15" s="9"/>
      <c r="F15" s="9"/>
      <c r="G15" s="9"/>
      <c r="H15" s="9"/>
    </row>
    <row r="16" customFormat="false" ht="15" hidden="false" customHeight="false" outlineLevel="0" collapsed="false">
      <c r="A16" s="9"/>
      <c r="B16" s="9"/>
      <c r="C16" s="9"/>
      <c r="D16" s="9"/>
      <c r="E16" s="9"/>
      <c r="F16" s="9"/>
      <c r="G16" s="9"/>
      <c r="H16" s="9"/>
    </row>
    <row r="17" customFormat="false" ht="15" hidden="false" customHeight="false" outlineLevel="0" collapsed="false">
      <c r="A17" s="9"/>
      <c r="B17" s="9"/>
      <c r="C17" s="9"/>
      <c r="D17" s="9"/>
      <c r="E17" s="9"/>
      <c r="F17" s="9"/>
      <c r="G17" s="9"/>
      <c r="H17" s="9"/>
    </row>
    <row r="18" customFormat="false" ht="15" hidden="false" customHeight="false" outlineLevel="0" collapsed="false">
      <c r="A18" s="9"/>
      <c r="B18" s="9"/>
      <c r="C18" s="9"/>
      <c r="D18" s="9"/>
      <c r="E18" s="9"/>
      <c r="F18" s="9"/>
      <c r="G18" s="9"/>
      <c r="H18" s="9"/>
    </row>
    <row r="19" customFormat="false" ht="15" hidden="false" customHeight="false" outlineLevel="0" collapsed="false">
      <c r="A19" s="9"/>
      <c r="B19" s="9"/>
      <c r="C19" s="9"/>
      <c r="D19" s="9"/>
      <c r="E19" s="9"/>
      <c r="F19" s="9"/>
      <c r="G19" s="9"/>
      <c r="H19" s="9"/>
    </row>
    <row r="20" customFormat="false" ht="15" hidden="false" customHeight="false" outlineLevel="0" collapsed="false">
      <c r="A20" s="9"/>
      <c r="B20" s="9"/>
      <c r="C20" s="9"/>
      <c r="D20" s="9"/>
      <c r="E20" s="9"/>
      <c r="F20" s="9"/>
      <c r="G20" s="9"/>
      <c r="H20" s="9"/>
    </row>
    <row r="21" customFormat="false" ht="15" hidden="false" customHeight="false" outlineLevel="0" collapsed="false">
      <c r="A21" s="9"/>
      <c r="B21" s="9"/>
      <c r="C21" s="9"/>
      <c r="D21" s="9"/>
      <c r="E21" s="9"/>
      <c r="F21" s="9"/>
      <c r="G21" s="9"/>
      <c r="H21" s="9"/>
    </row>
    <row r="22" customFormat="false" ht="15" hidden="false" customHeight="false" outlineLevel="0" collapsed="false">
      <c r="A22" s="9"/>
      <c r="B22" s="9"/>
      <c r="C22" s="9"/>
      <c r="D22" s="9"/>
      <c r="E22" s="9"/>
      <c r="F22" s="9"/>
      <c r="G22" s="9"/>
      <c r="H22" s="9"/>
    </row>
    <row r="23" customFormat="false" ht="15" hidden="false" customHeight="false" outlineLevel="0" collapsed="false">
      <c r="A23" s="9"/>
      <c r="B23" s="9"/>
      <c r="C23" s="9"/>
      <c r="D23" s="9"/>
      <c r="E23" s="9"/>
      <c r="F23" s="9"/>
      <c r="G23" s="9"/>
      <c r="H23" s="9"/>
    </row>
    <row r="24" customFormat="false" ht="15" hidden="false" customHeight="false" outlineLevel="0" collapsed="false">
      <c r="A24" s="9"/>
      <c r="B24" s="9"/>
      <c r="C24" s="9"/>
      <c r="D24" s="9"/>
      <c r="E24" s="9"/>
      <c r="F24" s="9"/>
      <c r="G24" s="9"/>
      <c r="H24" s="9"/>
    </row>
    <row r="25" customFormat="false" ht="15" hidden="false" customHeight="false" outlineLevel="0" collapsed="false">
      <c r="A25" s="9"/>
      <c r="B25" s="9"/>
      <c r="C25" s="9"/>
      <c r="D25" s="9"/>
      <c r="E25" s="9"/>
      <c r="F25" s="9"/>
      <c r="G25" s="9"/>
      <c r="H25" s="9"/>
    </row>
    <row r="27" customFormat="false" ht="30" hidden="false" customHeight="true" outlineLevel="0" collapsed="false">
      <c r="A27" s="6" t="s">
        <v>165</v>
      </c>
      <c r="B27" s="6"/>
      <c r="C27" s="6"/>
      <c r="D27" s="6"/>
      <c r="E27" s="6"/>
      <c r="F27" s="6"/>
      <c r="G27" s="6"/>
      <c r="H27" s="6"/>
    </row>
  </sheetData>
  <mergeCells count="2">
    <mergeCell ref="A2:H2"/>
    <mergeCell ref="A27:H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65656"/>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4"/>
    <col collapsed="false" customWidth="true" hidden="false" outlineLevel="0" max="4" min="4" style="0" width="56"/>
    <col collapsed="false" customWidth="true" hidden="false" outlineLevel="0" max="5" min="5" style="0" width="16"/>
    <col collapsed="false" customWidth="true" hidden="false" outlineLevel="0" max="6" min="6" style="0" width="28"/>
    <col collapsed="false" customWidth="true" hidden="false" outlineLevel="0" max="7" min="7" style="0" width="30"/>
  </cols>
  <sheetData>
    <row r="1" customFormat="false" ht="19.7" hidden="false" customHeight="false" outlineLevel="0" collapsed="false">
      <c r="A1" s="1" t="s">
        <v>166</v>
      </c>
    </row>
    <row r="2" customFormat="false" ht="31.5" hidden="false" customHeight="true" outlineLevel="0" collapsed="false">
      <c r="A2" s="6" t="s">
        <v>167</v>
      </c>
      <c r="B2" s="6"/>
      <c r="C2" s="6"/>
      <c r="D2" s="6"/>
      <c r="E2" s="6"/>
      <c r="F2" s="6"/>
      <c r="G2" s="6"/>
    </row>
    <row r="4" customFormat="false" ht="42" hidden="false" customHeight="true" outlineLevel="0" collapsed="false">
      <c r="A4" s="7" t="s">
        <v>28</v>
      </c>
      <c r="B4" s="7" t="s">
        <v>168</v>
      </c>
      <c r="C4" s="7" t="s">
        <v>169</v>
      </c>
      <c r="D4" s="7" t="s">
        <v>170</v>
      </c>
      <c r="E4" s="7" t="s">
        <v>171</v>
      </c>
      <c r="F4" s="7" t="s">
        <v>172</v>
      </c>
      <c r="G4" s="7" t="s">
        <v>173</v>
      </c>
    </row>
    <row r="5" customFormat="false" ht="15" hidden="false" customHeight="false" outlineLevel="0" collapsed="false">
      <c r="A5" s="8" t="s">
        <v>40</v>
      </c>
      <c r="B5" s="8" t="s">
        <v>174</v>
      </c>
      <c r="C5" s="8" t="s">
        <v>175</v>
      </c>
      <c r="D5" s="8" t="s">
        <v>176</v>
      </c>
      <c r="E5" s="8" t="s">
        <v>45</v>
      </c>
      <c r="F5" s="8"/>
      <c r="G5" s="8"/>
    </row>
    <row r="6" customFormat="false" ht="15" hidden="false" customHeight="false" outlineLevel="0" collapsed="false">
      <c r="A6" s="9"/>
      <c r="B6" s="9"/>
      <c r="C6" s="9"/>
      <c r="D6" s="9"/>
      <c r="E6" s="9"/>
      <c r="F6" s="9"/>
      <c r="G6" s="9"/>
    </row>
    <row r="7" customFormat="false" ht="15" hidden="false" customHeight="false" outlineLevel="0" collapsed="false">
      <c r="A7" s="9"/>
      <c r="B7" s="9"/>
      <c r="C7" s="9"/>
      <c r="D7" s="9"/>
      <c r="E7" s="9"/>
      <c r="F7" s="9"/>
      <c r="G7" s="9"/>
    </row>
    <row r="8" customFormat="false" ht="15" hidden="false" customHeight="false" outlineLevel="0" collapsed="false">
      <c r="A8" s="9"/>
      <c r="B8" s="9"/>
      <c r="C8" s="9"/>
      <c r="D8" s="9"/>
      <c r="E8" s="9"/>
      <c r="F8" s="9"/>
      <c r="G8" s="9"/>
    </row>
    <row r="9" customFormat="false" ht="15" hidden="false" customHeight="false" outlineLevel="0" collapsed="false">
      <c r="A9" s="9"/>
      <c r="B9" s="9"/>
      <c r="C9" s="9"/>
      <c r="D9" s="9"/>
      <c r="E9" s="9"/>
      <c r="F9" s="9"/>
      <c r="G9" s="9"/>
    </row>
    <row r="10" customFormat="false" ht="15" hidden="false" customHeight="false" outlineLevel="0" collapsed="false">
      <c r="A10" s="9"/>
      <c r="B10" s="9"/>
      <c r="C10" s="9"/>
      <c r="D10" s="9"/>
      <c r="E10" s="9"/>
      <c r="F10" s="9"/>
      <c r="G10" s="9"/>
    </row>
    <row r="11" customFormat="false" ht="15" hidden="false" customHeight="false" outlineLevel="0" collapsed="false">
      <c r="A11" s="9"/>
      <c r="B11" s="9"/>
      <c r="C11" s="9"/>
      <c r="D11" s="9"/>
      <c r="E11" s="9"/>
      <c r="F11" s="9"/>
      <c r="G11" s="9"/>
    </row>
    <row r="12" customFormat="false" ht="15" hidden="false" customHeight="false" outlineLevel="0" collapsed="false">
      <c r="A12" s="9"/>
      <c r="B12" s="9"/>
      <c r="C12" s="9"/>
      <c r="D12" s="9"/>
      <c r="E12" s="9"/>
      <c r="F12" s="9"/>
      <c r="G12" s="9"/>
    </row>
    <row r="13" customFormat="false" ht="15" hidden="false" customHeight="false" outlineLevel="0" collapsed="false">
      <c r="A13" s="9"/>
      <c r="B13" s="9"/>
      <c r="C13" s="9"/>
      <c r="D13" s="9"/>
      <c r="E13" s="9"/>
      <c r="F13" s="9"/>
      <c r="G13" s="9"/>
    </row>
    <row r="14" customFormat="false" ht="15" hidden="false" customHeight="false" outlineLevel="0" collapsed="false">
      <c r="A14" s="9"/>
      <c r="B14" s="9"/>
      <c r="C14" s="9"/>
      <c r="D14" s="9"/>
      <c r="E14" s="9"/>
      <c r="F14" s="9"/>
      <c r="G14" s="9"/>
    </row>
    <row r="15" customFormat="false" ht="15" hidden="false" customHeight="false" outlineLevel="0" collapsed="false">
      <c r="A15" s="9"/>
      <c r="B15" s="9"/>
      <c r="C15" s="9"/>
      <c r="D15" s="9"/>
      <c r="E15" s="9"/>
      <c r="F15" s="9"/>
      <c r="G15" s="9"/>
    </row>
    <row r="16" customFormat="false" ht="15" hidden="false" customHeight="false" outlineLevel="0" collapsed="false">
      <c r="A16" s="9"/>
      <c r="B16" s="9"/>
      <c r="C16" s="9"/>
      <c r="D16" s="9"/>
      <c r="E16" s="9"/>
      <c r="F16" s="9"/>
      <c r="G16" s="9"/>
    </row>
    <row r="17" customFormat="false" ht="15" hidden="false" customHeight="false" outlineLevel="0" collapsed="false">
      <c r="A17" s="9"/>
      <c r="B17" s="9"/>
      <c r="C17" s="9"/>
      <c r="D17" s="9"/>
      <c r="E17" s="9"/>
      <c r="F17" s="9"/>
      <c r="G17" s="9"/>
    </row>
    <row r="18" customFormat="false" ht="15" hidden="false" customHeight="false" outlineLevel="0" collapsed="false">
      <c r="A18" s="9"/>
      <c r="B18" s="9"/>
      <c r="C18" s="9"/>
      <c r="D18" s="9"/>
      <c r="E18" s="9"/>
      <c r="F18" s="9"/>
      <c r="G18" s="9"/>
    </row>
    <row r="19" customFormat="false" ht="15" hidden="false" customHeight="false" outlineLevel="0" collapsed="false">
      <c r="A19" s="9"/>
      <c r="B19" s="9"/>
      <c r="C19" s="9"/>
      <c r="D19" s="9"/>
      <c r="E19" s="9"/>
      <c r="F19" s="9"/>
      <c r="G19" s="9"/>
    </row>
    <row r="20" customFormat="false" ht="15" hidden="false" customHeight="false" outlineLevel="0" collapsed="false">
      <c r="A20" s="9"/>
      <c r="B20" s="9"/>
      <c r="C20" s="9"/>
      <c r="D20" s="9"/>
      <c r="E20" s="9"/>
      <c r="F20" s="9"/>
      <c r="G20" s="9"/>
    </row>
    <row r="21" customFormat="false" ht="15" hidden="false" customHeight="false" outlineLevel="0" collapsed="false">
      <c r="A21" s="9"/>
      <c r="B21" s="9"/>
      <c r="C21" s="9"/>
      <c r="D21" s="9"/>
      <c r="E21" s="9"/>
      <c r="F21" s="9"/>
      <c r="G21" s="9"/>
    </row>
    <row r="22" customFormat="false" ht="15" hidden="false" customHeight="false" outlineLevel="0" collapsed="false">
      <c r="A22" s="9"/>
      <c r="B22" s="9"/>
      <c r="C22" s="9"/>
      <c r="D22" s="9"/>
      <c r="E22" s="9"/>
      <c r="F22" s="9"/>
      <c r="G22" s="9"/>
    </row>
    <row r="23" customFormat="false" ht="15" hidden="false" customHeight="false" outlineLevel="0" collapsed="false">
      <c r="A23" s="9"/>
      <c r="B23" s="9"/>
      <c r="C23" s="9"/>
      <c r="D23" s="9"/>
      <c r="E23" s="9"/>
      <c r="F23" s="9"/>
      <c r="G23" s="9"/>
    </row>
    <row r="24" customFormat="false" ht="15" hidden="false" customHeight="false" outlineLevel="0" collapsed="false">
      <c r="A24" s="9"/>
      <c r="B24" s="9"/>
      <c r="C24" s="9"/>
      <c r="D24" s="9"/>
      <c r="E24" s="9"/>
      <c r="F24" s="9"/>
      <c r="G24" s="9"/>
    </row>
    <row r="25" customFormat="false" ht="15" hidden="false" customHeight="false" outlineLevel="0" collapsed="false">
      <c r="A25" s="9"/>
      <c r="B25" s="9"/>
      <c r="C25" s="9"/>
      <c r="D25" s="9"/>
      <c r="E25" s="9"/>
      <c r="F25" s="9"/>
      <c r="G25" s="9"/>
    </row>
  </sheetData>
  <mergeCells count="1">
    <mergeCell ref="A2:G2"/>
  </mergeCells>
  <dataValidations count="1">
    <dataValidation allowBlank="true" error="Not one of the permitted values. The application enforces this enum." errorStyle="stop" errorTitle="Closed value set" operator="between" showDropDown="false" showErrorMessage="false" showInputMessage="false" sqref="C5:C60" type="list">
      <formula1>"photograph,render,drawing"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22"/>
    <col collapsed="false" customWidth="true" hidden="false" outlineLevel="0" max="6" min="4" style="0" width="20"/>
    <col collapsed="false" customWidth="true" hidden="false" outlineLevel="0" max="7" min="7" style="0" width="16"/>
    <col collapsed="false" customWidth="true" hidden="false" outlineLevel="0" max="8" min="8" style="0" width="56"/>
  </cols>
  <sheetData>
    <row r="1" customFormat="false" ht="19.7" hidden="false" customHeight="false" outlineLevel="0" collapsed="false">
      <c r="A1" s="1" t="s">
        <v>177</v>
      </c>
    </row>
    <row r="2" customFormat="false" ht="31.5" hidden="false" customHeight="true" outlineLevel="0" collapsed="false">
      <c r="A2" s="6" t="s">
        <v>178</v>
      </c>
      <c r="B2" s="6"/>
      <c r="C2" s="6"/>
      <c r="D2" s="6"/>
      <c r="E2" s="6"/>
      <c r="F2" s="6"/>
      <c r="G2" s="6"/>
      <c r="H2" s="6"/>
    </row>
    <row r="4" customFormat="false" ht="39.75" hidden="false" customHeight="true" outlineLevel="0" collapsed="false">
      <c r="A4" s="7" t="s">
        <v>28</v>
      </c>
      <c r="B4" s="7" t="s">
        <v>179</v>
      </c>
      <c r="C4" s="7" t="s">
        <v>180</v>
      </c>
      <c r="D4" s="7" t="s">
        <v>181</v>
      </c>
      <c r="E4" s="7" t="s">
        <v>182</v>
      </c>
      <c r="F4" s="7" t="s">
        <v>183</v>
      </c>
      <c r="G4" s="7" t="s">
        <v>184</v>
      </c>
      <c r="H4" s="7" t="s">
        <v>185</v>
      </c>
    </row>
    <row r="5" customFormat="false" ht="15" hidden="false" customHeight="false" outlineLevel="0" collapsed="false">
      <c r="A5" s="18" t="str">
        <f aca="false">'1 Vehicle'!A5</f>
        <v>slowspace</v>
      </c>
      <c r="B5" s="5" t="str">
        <f aca="false">IF('4 Units &amp; ladder'!B5="","",IF(MOD(10000,'4 Units &amp; ladder'!B5)=0,"PASS","FAIL"))</f>
        <v>PASS</v>
      </c>
      <c r="C5" s="5" t="str">
        <f aca="false">IF('4 Units &amp; ladder'!F5="","",IF(MOD('4 Units &amp; ladder'!F5,1)=0,"PASS","FAIL"))</f>
        <v>PASS</v>
      </c>
      <c r="D5" s="5" t="str">
        <f aca="false">IF('5 Operating &amp; waterfall'!E5="","",IF(AND('5 Operating &amp; waterfall'!E5&gt;0,'5 Operating &amp; waterfall'!F5&gt;0,'5 Operating &amp; waterfall'!G5&gt;0,'5 Operating &amp; waterfall'!H5&gt;0,'5 Operating &amp; waterfall'!I5&gt;0,'5 Operating &amp; waterfall'!E5+'5 Operating &amp; waterfall'!F5+'5 Operating &amp; waterfall'!G5+'5 Operating &amp; waterfall'!H5+'5 Operating &amp; waterfall'!I5&lt;10000),"PASS","FAIL"))</f>
        <v>PASS</v>
      </c>
      <c r="E5" s="5" t="str">
        <f aca="false">IF('5 Operating &amp; waterfall'!J5="","",IF('5 Operating &amp; waterfall'!J5&gt;0,"PASS","FAIL"))</f>
        <v>PASS</v>
      </c>
      <c r="F5" s="5" t="str">
        <f aca="false">IF('6 Time'!D5="","",IF('6 Time'!D5*'4 Units &amp; ladder'!E5&lt;='6 Time'!C5,"PASS","FAIL"))</f>
        <v>PASS</v>
      </c>
      <c r="G5" s="5" t="str">
        <f aca="false">IF('4 Units &amp; ladder'!G5="","",IF('4 Units &amp; ladder'!G5&lt;='4 Units &amp; ladder'!E5,"PASS","FAIL"))</f>
        <v>PASS</v>
      </c>
      <c r="H5" s="5"/>
    </row>
    <row r="6" customFormat="false" ht="15" hidden="false" customHeight="false" outlineLevel="0" collapsed="false">
      <c r="A6" s="18" t="n">
        <f aca="false">'1 Vehicle'!A6</f>
        <v>0</v>
      </c>
      <c r="B6" s="5" t="str">
        <f aca="false">IF('4 Units &amp; ladder'!B6="","",IF(MOD(10000,'4 Units &amp; ladder'!B6)=0,"PASS","FAIL"))</f>
        <v/>
      </c>
      <c r="C6" s="5" t="str">
        <f aca="false">IF('4 Units &amp; ladder'!F6="","",IF(MOD('4 Units &amp; ladder'!F6,1)=0,"PASS","FAIL"))</f>
        <v/>
      </c>
      <c r="D6" s="5" t="str">
        <f aca="false">IF('5 Operating &amp; waterfall'!E6="","",IF(AND('5 Operating &amp; waterfall'!E6&gt;0,'5 Operating &amp; waterfall'!F6&gt;0,'5 Operating &amp; waterfall'!G6&gt;0,'5 Operating &amp; waterfall'!H6&gt;0,'5 Operating &amp; waterfall'!I6&gt;0,'5 Operating &amp; waterfall'!E6+'5 Operating &amp; waterfall'!F6+'5 Operating &amp; waterfall'!G6+'5 Operating &amp; waterfall'!H6+'5 Operating &amp; waterfall'!I6&lt;10000),"PASS","FAIL"))</f>
        <v/>
      </c>
      <c r="E6" s="5" t="str">
        <f aca="false">IF('5 Operating &amp; waterfall'!J6="","",IF('5 Operating &amp; waterfall'!J6&gt;0,"PASS","FAIL"))</f>
        <v/>
      </c>
      <c r="F6" s="5" t="str">
        <f aca="false">IF('6 Time'!D6="","",IF('6 Time'!D6*'4 Units &amp; ladder'!E6&lt;='6 Time'!C6,"PASS","FAIL"))</f>
        <v/>
      </c>
      <c r="G6" s="5" t="str">
        <f aca="false">IF('4 Units &amp; ladder'!G6="","",IF('4 Units &amp; ladder'!G6&lt;='4 Units &amp; ladder'!E6,"PASS","FAIL"))</f>
        <v/>
      </c>
      <c r="H6" s="5"/>
    </row>
    <row r="7" customFormat="false" ht="15" hidden="false" customHeight="false" outlineLevel="0" collapsed="false">
      <c r="A7" s="18" t="n">
        <f aca="false">'1 Vehicle'!A7</f>
        <v>0</v>
      </c>
      <c r="B7" s="5" t="str">
        <f aca="false">IF('4 Units &amp; ladder'!B7="","",IF(MOD(10000,'4 Units &amp; ladder'!B7)=0,"PASS","FAIL"))</f>
        <v/>
      </c>
      <c r="C7" s="5" t="str">
        <f aca="false">IF('4 Units &amp; ladder'!F7="","",IF(MOD('4 Units &amp; ladder'!F7,1)=0,"PASS","FAIL"))</f>
        <v/>
      </c>
      <c r="D7" s="5" t="str">
        <f aca="false">IF('5 Operating &amp; waterfall'!E7="","",IF(AND('5 Operating &amp; waterfall'!E7&gt;0,'5 Operating &amp; waterfall'!F7&gt;0,'5 Operating &amp; waterfall'!G7&gt;0,'5 Operating &amp; waterfall'!H7&gt;0,'5 Operating &amp; waterfall'!I7&gt;0,'5 Operating &amp; waterfall'!E7+'5 Operating &amp; waterfall'!F7+'5 Operating &amp; waterfall'!G7+'5 Operating &amp; waterfall'!H7+'5 Operating &amp; waterfall'!I7&lt;10000),"PASS","FAIL"))</f>
        <v/>
      </c>
      <c r="E7" s="5" t="str">
        <f aca="false">IF('5 Operating &amp; waterfall'!J7="","",IF('5 Operating &amp; waterfall'!J7&gt;0,"PASS","FAIL"))</f>
        <v/>
      </c>
      <c r="F7" s="5" t="str">
        <f aca="false">IF('6 Time'!D7="","",IF('6 Time'!D7*'4 Units &amp; ladder'!E7&lt;='6 Time'!C7,"PASS","FAIL"))</f>
        <v/>
      </c>
      <c r="G7" s="5" t="str">
        <f aca="false">IF('4 Units &amp; ladder'!G7="","",IF('4 Units &amp; ladder'!G7&lt;='4 Units &amp; ladder'!E7,"PASS","FAIL"))</f>
        <v/>
      </c>
      <c r="H7" s="5"/>
    </row>
    <row r="8" customFormat="false" ht="15" hidden="false" customHeight="false" outlineLevel="0" collapsed="false">
      <c r="A8" s="18" t="n">
        <f aca="false">'1 Vehicle'!A8</f>
        <v>0</v>
      </c>
      <c r="B8" s="5" t="str">
        <f aca="false">IF('4 Units &amp; ladder'!B8="","",IF(MOD(10000,'4 Units &amp; ladder'!B8)=0,"PASS","FAIL"))</f>
        <v/>
      </c>
      <c r="C8" s="5" t="str">
        <f aca="false">IF('4 Units &amp; ladder'!F8="","",IF(MOD('4 Units &amp; ladder'!F8,1)=0,"PASS","FAIL"))</f>
        <v/>
      </c>
      <c r="D8" s="5" t="str">
        <f aca="false">IF('5 Operating &amp; waterfall'!E8="","",IF(AND('5 Operating &amp; waterfall'!E8&gt;0,'5 Operating &amp; waterfall'!F8&gt;0,'5 Operating &amp; waterfall'!G8&gt;0,'5 Operating &amp; waterfall'!H8&gt;0,'5 Operating &amp; waterfall'!I8&gt;0,'5 Operating &amp; waterfall'!E8+'5 Operating &amp; waterfall'!F8+'5 Operating &amp; waterfall'!G8+'5 Operating &amp; waterfall'!H8+'5 Operating &amp; waterfall'!I8&lt;10000),"PASS","FAIL"))</f>
        <v/>
      </c>
      <c r="E8" s="5" t="str">
        <f aca="false">IF('5 Operating &amp; waterfall'!J8="","",IF('5 Operating &amp; waterfall'!J8&gt;0,"PASS","FAIL"))</f>
        <v/>
      </c>
      <c r="F8" s="5" t="str">
        <f aca="false">IF('6 Time'!D8="","",IF('6 Time'!D8*'4 Units &amp; ladder'!E8&lt;='6 Time'!C8,"PASS","FAIL"))</f>
        <v/>
      </c>
      <c r="G8" s="5" t="str">
        <f aca="false">IF('4 Units &amp; ladder'!G8="","",IF('4 Units &amp; ladder'!G8&lt;='4 Units &amp; ladder'!E8,"PASS","FAIL"))</f>
        <v/>
      </c>
      <c r="H8" s="5"/>
    </row>
    <row r="9" customFormat="false" ht="15" hidden="false" customHeight="false" outlineLevel="0" collapsed="false">
      <c r="A9" s="18" t="n">
        <f aca="false">'1 Vehicle'!A9</f>
        <v>0</v>
      </c>
      <c r="B9" s="5" t="str">
        <f aca="false">IF('4 Units &amp; ladder'!B9="","",IF(MOD(10000,'4 Units &amp; ladder'!B9)=0,"PASS","FAIL"))</f>
        <v/>
      </c>
      <c r="C9" s="5" t="str">
        <f aca="false">IF('4 Units &amp; ladder'!F9="","",IF(MOD('4 Units &amp; ladder'!F9,1)=0,"PASS","FAIL"))</f>
        <v/>
      </c>
      <c r="D9" s="5" t="str">
        <f aca="false">IF('5 Operating &amp; waterfall'!E9="","",IF(AND('5 Operating &amp; waterfall'!E9&gt;0,'5 Operating &amp; waterfall'!F9&gt;0,'5 Operating &amp; waterfall'!G9&gt;0,'5 Operating &amp; waterfall'!H9&gt;0,'5 Operating &amp; waterfall'!I9&gt;0,'5 Operating &amp; waterfall'!E9+'5 Operating &amp; waterfall'!F9+'5 Operating &amp; waterfall'!G9+'5 Operating &amp; waterfall'!H9+'5 Operating &amp; waterfall'!I9&lt;10000),"PASS","FAIL"))</f>
        <v/>
      </c>
      <c r="E9" s="5" t="str">
        <f aca="false">IF('5 Operating &amp; waterfall'!J9="","",IF('5 Operating &amp; waterfall'!J9&gt;0,"PASS","FAIL"))</f>
        <v/>
      </c>
      <c r="F9" s="5" t="str">
        <f aca="false">IF('6 Time'!D9="","",IF('6 Time'!D9*'4 Units &amp; ladder'!E9&lt;='6 Time'!C9,"PASS","FAIL"))</f>
        <v/>
      </c>
      <c r="G9" s="5" t="str">
        <f aca="false">IF('4 Units &amp; ladder'!G9="","",IF('4 Units &amp; ladder'!G9&lt;='4 Units &amp; ladder'!E9,"PASS","FAIL"))</f>
        <v/>
      </c>
      <c r="H9" s="5"/>
    </row>
    <row r="10" customFormat="false" ht="15" hidden="false" customHeight="false" outlineLevel="0" collapsed="false">
      <c r="A10" s="18" t="n">
        <f aca="false">'1 Vehicle'!A10</f>
        <v>0</v>
      </c>
      <c r="B10" s="5" t="str">
        <f aca="false">IF('4 Units &amp; ladder'!B10="","",IF(MOD(10000,'4 Units &amp; ladder'!B10)=0,"PASS","FAIL"))</f>
        <v/>
      </c>
      <c r="C10" s="5" t="str">
        <f aca="false">IF('4 Units &amp; ladder'!F10="","",IF(MOD('4 Units &amp; ladder'!F10,1)=0,"PASS","FAIL"))</f>
        <v/>
      </c>
      <c r="D10" s="5" t="str">
        <f aca="false">IF('5 Operating &amp; waterfall'!E10="","",IF(AND('5 Operating &amp; waterfall'!E10&gt;0,'5 Operating &amp; waterfall'!F10&gt;0,'5 Operating &amp; waterfall'!G10&gt;0,'5 Operating &amp; waterfall'!H10&gt;0,'5 Operating &amp; waterfall'!I10&gt;0,'5 Operating &amp; waterfall'!E10+'5 Operating &amp; waterfall'!F10+'5 Operating &amp; waterfall'!G10+'5 Operating &amp; waterfall'!H10+'5 Operating &amp; waterfall'!I10&lt;10000),"PASS","FAIL"))</f>
        <v/>
      </c>
      <c r="E10" s="5" t="str">
        <f aca="false">IF('5 Operating &amp; waterfall'!J10="","",IF('5 Operating &amp; waterfall'!J10&gt;0,"PASS","FAIL"))</f>
        <v/>
      </c>
      <c r="F10" s="5" t="str">
        <f aca="false">IF('6 Time'!D10="","",IF('6 Time'!D10*'4 Units &amp; ladder'!E10&lt;='6 Time'!C10,"PASS","FAIL"))</f>
        <v/>
      </c>
      <c r="G10" s="5" t="str">
        <f aca="false">IF('4 Units &amp; ladder'!G10="","",IF('4 Units &amp; ladder'!G10&lt;='4 Units &amp; ladder'!E10,"PASS","FAIL"))</f>
        <v/>
      </c>
      <c r="H10" s="5"/>
    </row>
    <row r="11" customFormat="false" ht="15" hidden="false" customHeight="false" outlineLevel="0" collapsed="false">
      <c r="A11" s="18" t="n">
        <f aca="false">'1 Vehicle'!A11</f>
        <v>0</v>
      </c>
      <c r="B11" s="5" t="str">
        <f aca="false">IF('4 Units &amp; ladder'!B11="","",IF(MOD(10000,'4 Units &amp; ladder'!B11)=0,"PASS","FAIL"))</f>
        <v/>
      </c>
      <c r="C11" s="5" t="str">
        <f aca="false">IF('4 Units &amp; ladder'!F11="","",IF(MOD('4 Units &amp; ladder'!F11,1)=0,"PASS","FAIL"))</f>
        <v/>
      </c>
      <c r="D11" s="5" t="str">
        <f aca="false">IF('5 Operating &amp; waterfall'!E11="","",IF(AND('5 Operating &amp; waterfall'!E11&gt;0,'5 Operating &amp; waterfall'!F11&gt;0,'5 Operating &amp; waterfall'!G11&gt;0,'5 Operating &amp; waterfall'!H11&gt;0,'5 Operating &amp; waterfall'!I11&gt;0,'5 Operating &amp; waterfall'!E11+'5 Operating &amp; waterfall'!F11+'5 Operating &amp; waterfall'!G11+'5 Operating &amp; waterfall'!H11+'5 Operating &amp; waterfall'!I11&lt;10000),"PASS","FAIL"))</f>
        <v/>
      </c>
      <c r="E11" s="5" t="str">
        <f aca="false">IF('5 Operating &amp; waterfall'!J11="","",IF('5 Operating &amp; waterfall'!J11&gt;0,"PASS","FAIL"))</f>
        <v/>
      </c>
      <c r="F11" s="5" t="str">
        <f aca="false">IF('6 Time'!D11="","",IF('6 Time'!D11*'4 Units &amp; ladder'!E11&lt;='6 Time'!C11,"PASS","FAIL"))</f>
        <v/>
      </c>
      <c r="G11" s="5" t="str">
        <f aca="false">IF('4 Units &amp; ladder'!G11="","",IF('4 Units &amp; ladder'!G11&lt;='4 Units &amp; ladder'!E11,"PASS","FAIL"))</f>
        <v/>
      </c>
      <c r="H11" s="5"/>
    </row>
    <row r="12" customFormat="false" ht="15" hidden="false" customHeight="false" outlineLevel="0" collapsed="false">
      <c r="A12" s="18" t="n">
        <f aca="false">'1 Vehicle'!A12</f>
        <v>0</v>
      </c>
      <c r="B12" s="5" t="str">
        <f aca="false">IF('4 Units &amp; ladder'!B12="","",IF(MOD(10000,'4 Units &amp; ladder'!B12)=0,"PASS","FAIL"))</f>
        <v/>
      </c>
      <c r="C12" s="5" t="str">
        <f aca="false">IF('4 Units &amp; ladder'!F12="","",IF(MOD('4 Units &amp; ladder'!F12,1)=0,"PASS","FAIL"))</f>
        <v/>
      </c>
      <c r="D12" s="5" t="str">
        <f aca="false">IF('5 Operating &amp; waterfall'!E12="","",IF(AND('5 Operating &amp; waterfall'!E12&gt;0,'5 Operating &amp; waterfall'!F12&gt;0,'5 Operating &amp; waterfall'!G12&gt;0,'5 Operating &amp; waterfall'!H12&gt;0,'5 Operating &amp; waterfall'!I12&gt;0,'5 Operating &amp; waterfall'!E12+'5 Operating &amp; waterfall'!F12+'5 Operating &amp; waterfall'!G12+'5 Operating &amp; waterfall'!H12+'5 Operating &amp; waterfall'!I12&lt;10000),"PASS","FAIL"))</f>
        <v/>
      </c>
      <c r="E12" s="5" t="str">
        <f aca="false">IF('5 Operating &amp; waterfall'!J12="","",IF('5 Operating &amp; waterfall'!J12&gt;0,"PASS","FAIL"))</f>
        <v/>
      </c>
      <c r="F12" s="5" t="str">
        <f aca="false">IF('6 Time'!D12="","",IF('6 Time'!D12*'4 Units &amp; ladder'!E12&lt;='6 Time'!C12,"PASS","FAIL"))</f>
        <v/>
      </c>
      <c r="G12" s="5" t="str">
        <f aca="false">IF('4 Units &amp; ladder'!G12="","",IF('4 Units &amp; ladder'!G12&lt;='4 Units &amp; ladder'!E12,"PASS","FAIL"))</f>
        <v/>
      </c>
      <c r="H12" s="5"/>
    </row>
    <row r="13" customFormat="false" ht="15" hidden="false" customHeight="false" outlineLevel="0" collapsed="false">
      <c r="A13" s="18" t="n">
        <f aca="false">'1 Vehicle'!A13</f>
        <v>0</v>
      </c>
      <c r="B13" s="5" t="str">
        <f aca="false">IF('4 Units &amp; ladder'!B13="","",IF(MOD(10000,'4 Units &amp; ladder'!B13)=0,"PASS","FAIL"))</f>
        <v/>
      </c>
      <c r="C13" s="5" t="str">
        <f aca="false">IF('4 Units &amp; ladder'!F13="","",IF(MOD('4 Units &amp; ladder'!F13,1)=0,"PASS","FAIL"))</f>
        <v/>
      </c>
      <c r="D13" s="5" t="str">
        <f aca="false">IF('5 Operating &amp; waterfall'!E13="","",IF(AND('5 Operating &amp; waterfall'!E13&gt;0,'5 Operating &amp; waterfall'!F13&gt;0,'5 Operating &amp; waterfall'!G13&gt;0,'5 Operating &amp; waterfall'!H13&gt;0,'5 Operating &amp; waterfall'!I13&gt;0,'5 Operating &amp; waterfall'!E13+'5 Operating &amp; waterfall'!F13+'5 Operating &amp; waterfall'!G13+'5 Operating &amp; waterfall'!H13+'5 Operating &amp; waterfall'!I13&lt;10000),"PASS","FAIL"))</f>
        <v/>
      </c>
      <c r="E13" s="5" t="str">
        <f aca="false">IF('5 Operating &amp; waterfall'!J13="","",IF('5 Operating &amp; waterfall'!J13&gt;0,"PASS","FAIL"))</f>
        <v/>
      </c>
      <c r="F13" s="5" t="str">
        <f aca="false">IF('6 Time'!D13="","",IF('6 Time'!D13*'4 Units &amp; ladder'!E13&lt;='6 Time'!C13,"PASS","FAIL"))</f>
        <v/>
      </c>
      <c r="G13" s="5" t="str">
        <f aca="false">IF('4 Units &amp; ladder'!G13="","",IF('4 Units &amp; ladder'!G13&lt;='4 Units &amp; ladder'!E13,"PASS","FAIL"))</f>
        <v/>
      </c>
      <c r="H13" s="5"/>
    </row>
    <row r="14" customFormat="false" ht="15" hidden="false" customHeight="false" outlineLevel="0" collapsed="false">
      <c r="A14" s="18" t="n">
        <f aca="false">'1 Vehicle'!A14</f>
        <v>0</v>
      </c>
      <c r="B14" s="5" t="str">
        <f aca="false">IF('4 Units &amp; ladder'!B14="","",IF(MOD(10000,'4 Units &amp; ladder'!B14)=0,"PASS","FAIL"))</f>
        <v/>
      </c>
      <c r="C14" s="5" t="str">
        <f aca="false">IF('4 Units &amp; ladder'!F14="","",IF(MOD('4 Units &amp; ladder'!F14,1)=0,"PASS","FAIL"))</f>
        <v/>
      </c>
      <c r="D14" s="5" t="str">
        <f aca="false">IF('5 Operating &amp; waterfall'!E14="","",IF(AND('5 Operating &amp; waterfall'!E14&gt;0,'5 Operating &amp; waterfall'!F14&gt;0,'5 Operating &amp; waterfall'!G14&gt;0,'5 Operating &amp; waterfall'!H14&gt;0,'5 Operating &amp; waterfall'!I14&gt;0,'5 Operating &amp; waterfall'!E14+'5 Operating &amp; waterfall'!F14+'5 Operating &amp; waterfall'!G14+'5 Operating &amp; waterfall'!H14+'5 Operating &amp; waterfall'!I14&lt;10000),"PASS","FAIL"))</f>
        <v/>
      </c>
      <c r="E14" s="5" t="str">
        <f aca="false">IF('5 Operating &amp; waterfall'!J14="","",IF('5 Operating &amp; waterfall'!J14&gt;0,"PASS","FAIL"))</f>
        <v/>
      </c>
      <c r="F14" s="5" t="str">
        <f aca="false">IF('6 Time'!D14="","",IF('6 Time'!D14*'4 Units &amp; ladder'!E14&lt;='6 Time'!C14,"PASS","FAIL"))</f>
        <v/>
      </c>
      <c r="G14" s="5" t="str">
        <f aca="false">IF('4 Units &amp; ladder'!G14="","",IF('4 Units &amp; ladder'!G14&lt;='4 Units &amp; ladder'!E14,"PASS","FAIL"))</f>
        <v/>
      </c>
      <c r="H14" s="5"/>
    </row>
    <row r="15" customFormat="false" ht="15" hidden="false" customHeight="false" outlineLevel="0" collapsed="false">
      <c r="A15" s="18" t="n">
        <f aca="false">'1 Vehicle'!A15</f>
        <v>0</v>
      </c>
      <c r="B15" s="5" t="str">
        <f aca="false">IF('4 Units &amp; ladder'!B15="","",IF(MOD(10000,'4 Units &amp; ladder'!B15)=0,"PASS","FAIL"))</f>
        <v/>
      </c>
      <c r="C15" s="5" t="str">
        <f aca="false">IF('4 Units &amp; ladder'!F15="","",IF(MOD('4 Units &amp; ladder'!F15,1)=0,"PASS","FAIL"))</f>
        <v/>
      </c>
      <c r="D15" s="5" t="str">
        <f aca="false">IF('5 Operating &amp; waterfall'!E15="","",IF(AND('5 Operating &amp; waterfall'!E15&gt;0,'5 Operating &amp; waterfall'!F15&gt;0,'5 Operating &amp; waterfall'!G15&gt;0,'5 Operating &amp; waterfall'!H15&gt;0,'5 Operating &amp; waterfall'!I15&gt;0,'5 Operating &amp; waterfall'!E15+'5 Operating &amp; waterfall'!F15+'5 Operating &amp; waterfall'!G15+'5 Operating &amp; waterfall'!H15+'5 Operating &amp; waterfall'!I15&lt;10000),"PASS","FAIL"))</f>
        <v/>
      </c>
      <c r="E15" s="5" t="str">
        <f aca="false">IF('5 Operating &amp; waterfall'!J15="","",IF('5 Operating &amp; waterfall'!J15&gt;0,"PASS","FAIL"))</f>
        <v/>
      </c>
      <c r="F15" s="5" t="str">
        <f aca="false">IF('6 Time'!D15="","",IF('6 Time'!D15*'4 Units &amp; ladder'!E15&lt;='6 Time'!C15,"PASS","FAIL"))</f>
        <v/>
      </c>
      <c r="G15" s="5" t="str">
        <f aca="false">IF('4 Units &amp; ladder'!G15="","",IF('4 Units &amp; ladder'!G15&lt;='4 Units &amp; ladder'!E15,"PASS","FAIL"))</f>
        <v/>
      </c>
      <c r="H15" s="5"/>
    </row>
    <row r="16" customFormat="false" ht="15" hidden="false" customHeight="false" outlineLevel="0" collapsed="false">
      <c r="A16" s="18" t="n">
        <f aca="false">'1 Vehicle'!A16</f>
        <v>0</v>
      </c>
      <c r="B16" s="5" t="str">
        <f aca="false">IF('4 Units &amp; ladder'!B16="","",IF(MOD(10000,'4 Units &amp; ladder'!B16)=0,"PASS","FAIL"))</f>
        <v/>
      </c>
      <c r="C16" s="5" t="str">
        <f aca="false">IF('4 Units &amp; ladder'!F16="","",IF(MOD('4 Units &amp; ladder'!F16,1)=0,"PASS","FAIL"))</f>
        <v/>
      </c>
      <c r="D16" s="5" t="str">
        <f aca="false">IF('5 Operating &amp; waterfall'!E16="","",IF(AND('5 Operating &amp; waterfall'!E16&gt;0,'5 Operating &amp; waterfall'!F16&gt;0,'5 Operating &amp; waterfall'!G16&gt;0,'5 Operating &amp; waterfall'!H16&gt;0,'5 Operating &amp; waterfall'!I16&gt;0,'5 Operating &amp; waterfall'!E16+'5 Operating &amp; waterfall'!F16+'5 Operating &amp; waterfall'!G16+'5 Operating &amp; waterfall'!H16+'5 Operating &amp; waterfall'!I16&lt;10000),"PASS","FAIL"))</f>
        <v/>
      </c>
      <c r="E16" s="5" t="str">
        <f aca="false">IF('5 Operating &amp; waterfall'!J16="","",IF('5 Operating &amp; waterfall'!J16&gt;0,"PASS","FAIL"))</f>
        <v/>
      </c>
      <c r="F16" s="5" t="str">
        <f aca="false">IF('6 Time'!D16="","",IF('6 Time'!D16*'4 Units &amp; ladder'!E16&lt;='6 Time'!C16,"PASS","FAIL"))</f>
        <v/>
      </c>
      <c r="G16" s="5" t="str">
        <f aca="false">IF('4 Units &amp; ladder'!G16="","",IF('4 Units &amp; ladder'!G16&lt;='4 Units &amp; ladder'!E16,"PASS","FAIL"))</f>
        <v/>
      </c>
      <c r="H16" s="5"/>
    </row>
    <row r="17" customFormat="false" ht="15" hidden="false" customHeight="false" outlineLevel="0" collapsed="false">
      <c r="A17" s="18" t="n">
        <f aca="false">'1 Vehicle'!A17</f>
        <v>0</v>
      </c>
      <c r="B17" s="5" t="str">
        <f aca="false">IF('4 Units &amp; ladder'!B17="","",IF(MOD(10000,'4 Units &amp; ladder'!B17)=0,"PASS","FAIL"))</f>
        <v/>
      </c>
      <c r="C17" s="5" t="str">
        <f aca="false">IF('4 Units &amp; ladder'!F17="","",IF(MOD('4 Units &amp; ladder'!F17,1)=0,"PASS","FAIL"))</f>
        <v/>
      </c>
      <c r="D17" s="5" t="str">
        <f aca="false">IF('5 Operating &amp; waterfall'!E17="","",IF(AND('5 Operating &amp; waterfall'!E17&gt;0,'5 Operating &amp; waterfall'!F17&gt;0,'5 Operating &amp; waterfall'!G17&gt;0,'5 Operating &amp; waterfall'!H17&gt;0,'5 Operating &amp; waterfall'!I17&gt;0,'5 Operating &amp; waterfall'!E17+'5 Operating &amp; waterfall'!F17+'5 Operating &amp; waterfall'!G17+'5 Operating &amp; waterfall'!H17+'5 Operating &amp; waterfall'!I17&lt;10000),"PASS","FAIL"))</f>
        <v/>
      </c>
      <c r="E17" s="5" t="str">
        <f aca="false">IF('5 Operating &amp; waterfall'!J17="","",IF('5 Operating &amp; waterfall'!J17&gt;0,"PASS","FAIL"))</f>
        <v/>
      </c>
      <c r="F17" s="5" t="str">
        <f aca="false">IF('6 Time'!D17="","",IF('6 Time'!D17*'4 Units &amp; ladder'!E17&lt;='6 Time'!C17,"PASS","FAIL"))</f>
        <v/>
      </c>
      <c r="G17" s="5" t="str">
        <f aca="false">IF('4 Units &amp; ladder'!G17="","",IF('4 Units &amp; ladder'!G17&lt;='4 Units &amp; ladder'!E17,"PASS","FAIL"))</f>
        <v/>
      </c>
      <c r="H17" s="5"/>
    </row>
    <row r="18" customFormat="false" ht="15" hidden="false" customHeight="false" outlineLevel="0" collapsed="false">
      <c r="A18" s="18" t="n">
        <f aca="false">'1 Vehicle'!A18</f>
        <v>0</v>
      </c>
      <c r="B18" s="5" t="str">
        <f aca="false">IF('4 Units &amp; ladder'!B18="","",IF(MOD(10000,'4 Units &amp; ladder'!B18)=0,"PASS","FAIL"))</f>
        <v/>
      </c>
      <c r="C18" s="5" t="str">
        <f aca="false">IF('4 Units &amp; ladder'!F18="","",IF(MOD('4 Units &amp; ladder'!F18,1)=0,"PASS","FAIL"))</f>
        <v/>
      </c>
      <c r="D18" s="5" t="str">
        <f aca="false">IF('5 Operating &amp; waterfall'!E18="","",IF(AND('5 Operating &amp; waterfall'!E18&gt;0,'5 Operating &amp; waterfall'!F18&gt;0,'5 Operating &amp; waterfall'!G18&gt;0,'5 Operating &amp; waterfall'!H18&gt;0,'5 Operating &amp; waterfall'!I18&gt;0,'5 Operating &amp; waterfall'!E18+'5 Operating &amp; waterfall'!F18+'5 Operating &amp; waterfall'!G18+'5 Operating &amp; waterfall'!H18+'5 Operating &amp; waterfall'!I18&lt;10000),"PASS","FAIL"))</f>
        <v/>
      </c>
      <c r="E18" s="5" t="str">
        <f aca="false">IF('5 Operating &amp; waterfall'!J18="","",IF('5 Operating &amp; waterfall'!J18&gt;0,"PASS","FAIL"))</f>
        <v/>
      </c>
      <c r="F18" s="5" t="str">
        <f aca="false">IF('6 Time'!D18="","",IF('6 Time'!D18*'4 Units &amp; ladder'!E18&lt;='6 Time'!C18,"PASS","FAIL"))</f>
        <v/>
      </c>
      <c r="G18" s="5" t="str">
        <f aca="false">IF('4 Units &amp; ladder'!G18="","",IF('4 Units &amp; ladder'!G18&lt;='4 Units &amp; ladder'!E18,"PASS","FAIL"))</f>
        <v/>
      </c>
      <c r="H18" s="5"/>
    </row>
    <row r="19" customFormat="false" ht="15" hidden="false" customHeight="false" outlineLevel="0" collapsed="false">
      <c r="A19" s="18" t="n">
        <f aca="false">'1 Vehicle'!A19</f>
        <v>0</v>
      </c>
      <c r="B19" s="5" t="str">
        <f aca="false">IF('4 Units &amp; ladder'!B19="","",IF(MOD(10000,'4 Units &amp; ladder'!B19)=0,"PASS","FAIL"))</f>
        <v/>
      </c>
      <c r="C19" s="5" t="str">
        <f aca="false">IF('4 Units &amp; ladder'!F19="","",IF(MOD('4 Units &amp; ladder'!F19,1)=0,"PASS","FAIL"))</f>
        <v/>
      </c>
      <c r="D19" s="5" t="str">
        <f aca="false">IF('5 Operating &amp; waterfall'!E19="","",IF(AND('5 Operating &amp; waterfall'!E19&gt;0,'5 Operating &amp; waterfall'!F19&gt;0,'5 Operating &amp; waterfall'!G19&gt;0,'5 Operating &amp; waterfall'!H19&gt;0,'5 Operating &amp; waterfall'!I19&gt;0,'5 Operating &amp; waterfall'!E19+'5 Operating &amp; waterfall'!F19+'5 Operating &amp; waterfall'!G19+'5 Operating &amp; waterfall'!H19+'5 Operating &amp; waterfall'!I19&lt;10000),"PASS","FAIL"))</f>
        <v/>
      </c>
      <c r="E19" s="5" t="str">
        <f aca="false">IF('5 Operating &amp; waterfall'!J19="","",IF('5 Operating &amp; waterfall'!J19&gt;0,"PASS","FAIL"))</f>
        <v/>
      </c>
      <c r="F19" s="5" t="str">
        <f aca="false">IF('6 Time'!D19="","",IF('6 Time'!D19*'4 Units &amp; ladder'!E19&lt;='6 Time'!C19,"PASS","FAIL"))</f>
        <v/>
      </c>
      <c r="G19" s="5" t="str">
        <f aca="false">IF('4 Units &amp; ladder'!G19="","",IF('4 Units &amp; ladder'!G19&lt;='4 Units &amp; ladder'!E19,"PASS","FAIL"))</f>
        <v/>
      </c>
      <c r="H19" s="5"/>
    </row>
    <row r="20" customFormat="false" ht="15" hidden="false" customHeight="false" outlineLevel="0" collapsed="false">
      <c r="A20" s="18" t="n">
        <f aca="false">'1 Vehicle'!A20</f>
        <v>0</v>
      </c>
      <c r="B20" s="5" t="str">
        <f aca="false">IF('4 Units &amp; ladder'!B20="","",IF(MOD(10000,'4 Units &amp; ladder'!B20)=0,"PASS","FAIL"))</f>
        <v/>
      </c>
      <c r="C20" s="5" t="str">
        <f aca="false">IF('4 Units &amp; ladder'!F20="","",IF(MOD('4 Units &amp; ladder'!F20,1)=0,"PASS","FAIL"))</f>
        <v/>
      </c>
      <c r="D20" s="5" t="str">
        <f aca="false">IF('5 Operating &amp; waterfall'!E20="","",IF(AND('5 Operating &amp; waterfall'!E20&gt;0,'5 Operating &amp; waterfall'!F20&gt;0,'5 Operating &amp; waterfall'!G20&gt;0,'5 Operating &amp; waterfall'!H20&gt;0,'5 Operating &amp; waterfall'!I20&gt;0,'5 Operating &amp; waterfall'!E20+'5 Operating &amp; waterfall'!F20+'5 Operating &amp; waterfall'!G20+'5 Operating &amp; waterfall'!H20+'5 Operating &amp; waterfall'!I20&lt;10000),"PASS","FAIL"))</f>
        <v/>
      </c>
      <c r="E20" s="5" t="str">
        <f aca="false">IF('5 Operating &amp; waterfall'!J20="","",IF('5 Operating &amp; waterfall'!J20&gt;0,"PASS","FAIL"))</f>
        <v/>
      </c>
      <c r="F20" s="5" t="str">
        <f aca="false">IF('6 Time'!D20="","",IF('6 Time'!D20*'4 Units &amp; ladder'!E20&lt;='6 Time'!C20,"PASS","FAIL"))</f>
        <v/>
      </c>
      <c r="G20" s="5" t="str">
        <f aca="false">IF('4 Units &amp; ladder'!G20="","",IF('4 Units &amp; ladder'!G20&lt;='4 Units &amp; ladder'!E20,"PASS","FAIL"))</f>
        <v/>
      </c>
      <c r="H20" s="5"/>
    </row>
    <row r="21" customFormat="false" ht="15" hidden="false" customHeight="false" outlineLevel="0" collapsed="false">
      <c r="A21" s="18" t="n">
        <f aca="false">'1 Vehicle'!A21</f>
        <v>0</v>
      </c>
      <c r="B21" s="5" t="str">
        <f aca="false">IF('4 Units &amp; ladder'!B21="","",IF(MOD(10000,'4 Units &amp; ladder'!B21)=0,"PASS","FAIL"))</f>
        <v/>
      </c>
      <c r="C21" s="5" t="str">
        <f aca="false">IF('4 Units &amp; ladder'!F21="","",IF(MOD('4 Units &amp; ladder'!F21,1)=0,"PASS","FAIL"))</f>
        <v/>
      </c>
      <c r="D21" s="5" t="str">
        <f aca="false">IF('5 Operating &amp; waterfall'!E21="","",IF(AND('5 Operating &amp; waterfall'!E21&gt;0,'5 Operating &amp; waterfall'!F21&gt;0,'5 Operating &amp; waterfall'!G21&gt;0,'5 Operating &amp; waterfall'!H21&gt;0,'5 Operating &amp; waterfall'!I21&gt;0,'5 Operating &amp; waterfall'!E21+'5 Operating &amp; waterfall'!F21+'5 Operating &amp; waterfall'!G21+'5 Operating &amp; waterfall'!H21+'5 Operating &amp; waterfall'!I21&lt;10000),"PASS","FAIL"))</f>
        <v/>
      </c>
      <c r="E21" s="5" t="str">
        <f aca="false">IF('5 Operating &amp; waterfall'!J21="","",IF('5 Operating &amp; waterfall'!J21&gt;0,"PASS","FAIL"))</f>
        <v/>
      </c>
      <c r="F21" s="5" t="str">
        <f aca="false">IF('6 Time'!D21="","",IF('6 Time'!D21*'4 Units &amp; ladder'!E21&lt;='6 Time'!C21,"PASS","FAIL"))</f>
        <v/>
      </c>
      <c r="G21" s="5" t="str">
        <f aca="false">IF('4 Units &amp; ladder'!G21="","",IF('4 Units &amp; ladder'!G21&lt;='4 Units &amp; ladder'!E21,"PASS","FAIL"))</f>
        <v/>
      </c>
      <c r="H21" s="5"/>
    </row>
    <row r="22" customFormat="false" ht="15" hidden="false" customHeight="false" outlineLevel="0" collapsed="false">
      <c r="A22" s="18" t="n">
        <f aca="false">'1 Vehicle'!A22</f>
        <v>0</v>
      </c>
      <c r="B22" s="5" t="str">
        <f aca="false">IF('4 Units &amp; ladder'!B22="","",IF(MOD(10000,'4 Units &amp; ladder'!B22)=0,"PASS","FAIL"))</f>
        <v/>
      </c>
      <c r="C22" s="5" t="str">
        <f aca="false">IF('4 Units &amp; ladder'!F22="","",IF(MOD('4 Units &amp; ladder'!F22,1)=0,"PASS","FAIL"))</f>
        <v/>
      </c>
      <c r="D22" s="5" t="str">
        <f aca="false">IF('5 Operating &amp; waterfall'!E22="","",IF(AND('5 Operating &amp; waterfall'!E22&gt;0,'5 Operating &amp; waterfall'!F22&gt;0,'5 Operating &amp; waterfall'!G22&gt;0,'5 Operating &amp; waterfall'!H22&gt;0,'5 Operating &amp; waterfall'!I22&gt;0,'5 Operating &amp; waterfall'!E22+'5 Operating &amp; waterfall'!F22+'5 Operating &amp; waterfall'!G22+'5 Operating &amp; waterfall'!H22+'5 Operating &amp; waterfall'!I22&lt;10000),"PASS","FAIL"))</f>
        <v/>
      </c>
      <c r="E22" s="5" t="str">
        <f aca="false">IF('5 Operating &amp; waterfall'!J22="","",IF('5 Operating &amp; waterfall'!J22&gt;0,"PASS","FAIL"))</f>
        <v/>
      </c>
      <c r="F22" s="5" t="str">
        <f aca="false">IF('6 Time'!D22="","",IF('6 Time'!D22*'4 Units &amp; ladder'!E22&lt;='6 Time'!C22,"PASS","FAIL"))</f>
        <v/>
      </c>
      <c r="G22" s="5" t="str">
        <f aca="false">IF('4 Units &amp; ladder'!G22="","",IF('4 Units &amp; ladder'!G22&lt;='4 Units &amp; ladder'!E22,"PASS","FAIL"))</f>
        <v/>
      </c>
      <c r="H22" s="5"/>
    </row>
    <row r="23" customFormat="false" ht="15" hidden="false" customHeight="false" outlineLevel="0" collapsed="false">
      <c r="A23" s="18" t="n">
        <f aca="false">'1 Vehicle'!A23</f>
        <v>0</v>
      </c>
      <c r="B23" s="5" t="str">
        <f aca="false">IF('4 Units &amp; ladder'!B23="","",IF(MOD(10000,'4 Units &amp; ladder'!B23)=0,"PASS","FAIL"))</f>
        <v/>
      </c>
      <c r="C23" s="5" t="str">
        <f aca="false">IF('4 Units &amp; ladder'!F23="","",IF(MOD('4 Units &amp; ladder'!F23,1)=0,"PASS","FAIL"))</f>
        <v/>
      </c>
      <c r="D23" s="5" t="str">
        <f aca="false">IF('5 Operating &amp; waterfall'!E23="","",IF(AND('5 Operating &amp; waterfall'!E23&gt;0,'5 Operating &amp; waterfall'!F23&gt;0,'5 Operating &amp; waterfall'!G23&gt;0,'5 Operating &amp; waterfall'!H23&gt;0,'5 Operating &amp; waterfall'!I23&gt;0,'5 Operating &amp; waterfall'!E23+'5 Operating &amp; waterfall'!F23+'5 Operating &amp; waterfall'!G23+'5 Operating &amp; waterfall'!H23+'5 Operating &amp; waterfall'!I23&lt;10000),"PASS","FAIL"))</f>
        <v/>
      </c>
      <c r="E23" s="5" t="str">
        <f aca="false">IF('5 Operating &amp; waterfall'!J23="","",IF('5 Operating &amp; waterfall'!J23&gt;0,"PASS","FAIL"))</f>
        <v/>
      </c>
      <c r="F23" s="5" t="str">
        <f aca="false">IF('6 Time'!D23="","",IF('6 Time'!D23*'4 Units &amp; ladder'!E23&lt;='6 Time'!C23,"PASS","FAIL"))</f>
        <v/>
      </c>
      <c r="G23" s="5" t="str">
        <f aca="false">IF('4 Units &amp; ladder'!G23="","",IF('4 Units &amp; ladder'!G23&lt;='4 Units &amp; ladder'!E23,"PASS","FAIL"))</f>
        <v/>
      </c>
      <c r="H23" s="5"/>
    </row>
    <row r="24" customFormat="false" ht="15" hidden="false" customHeight="false" outlineLevel="0" collapsed="false">
      <c r="A24" s="18" t="n">
        <f aca="false">'1 Vehicle'!A24</f>
        <v>0</v>
      </c>
      <c r="B24" s="5" t="str">
        <f aca="false">IF('4 Units &amp; ladder'!B24="","",IF(MOD(10000,'4 Units &amp; ladder'!B24)=0,"PASS","FAIL"))</f>
        <v/>
      </c>
      <c r="C24" s="5" t="str">
        <f aca="false">IF('4 Units &amp; ladder'!F24="","",IF(MOD('4 Units &amp; ladder'!F24,1)=0,"PASS","FAIL"))</f>
        <v/>
      </c>
      <c r="D24" s="5" t="str">
        <f aca="false">IF('5 Operating &amp; waterfall'!E24="","",IF(AND('5 Operating &amp; waterfall'!E24&gt;0,'5 Operating &amp; waterfall'!F24&gt;0,'5 Operating &amp; waterfall'!G24&gt;0,'5 Operating &amp; waterfall'!H24&gt;0,'5 Operating &amp; waterfall'!I24&gt;0,'5 Operating &amp; waterfall'!E24+'5 Operating &amp; waterfall'!F24+'5 Operating &amp; waterfall'!G24+'5 Operating &amp; waterfall'!H24+'5 Operating &amp; waterfall'!I24&lt;10000),"PASS","FAIL"))</f>
        <v/>
      </c>
      <c r="E24" s="5" t="str">
        <f aca="false">IF('5 Operating &amp; waterfall'!J24="","",IF('5 Operating &amp; waterfall'!J24&gt;0,"PASS","FAIL"))</f>
        <v/>
      </c>
      <c r="F24" s="5" t="str">
        <f aca="false">IF('6 Time'!D24="","",IF('6 Time'!D24*'4 Units &amp; ladder'!E24&lt;='6 Time'!C24,"PASS","FAIL"))</f>
        <v/>
      </c>
      <c r="G24" s="5" t="str">
        <f aca="false">IF('4 Units &amp; ladder'!G24="","",IF('4 Units &amp; ladder'!G24&lt;='4 Units &amp; ladder'!E24,"PASS","FAIL"))</f>
        <v/>
      </c>
      <c r="H24" s="5"/>
    </row>
    <row r="25" customFormat="false" ht="15" hidden="false" customHeight="false" outlineLevel="0" collapsed="false">
      <c r="A25" s="18" t="n">
        <f aca="false">'1 Vehicle'!A25</f>
        <v>0</v>
      </c>
      <c r="B25" s="5" t="str">
        <f aca="false">IF('4 Units &amp; ladder'!B25="","",IF(MOD(10000,'4 Units &amp; ladder'!B25)=0,"PASS","FAIL"))</f>
        <v/>
      </c>
      <c r="C25" s="5" t="str">
        <f aca="false">IF('4 Units &amp; ladder'!F25="","",IF(MOD('4 Units &amp; ladder'!F25,1)=0,"PASS","FAIL"))</f>
        <v/>
      </c>
      <c r="D25" s="5" t="str">
        <f aca="false">IF('5 Operating &amp; waterfall'!E25="","",IF(AND('5 Operating &amp; waterfall'!E25&gt;0,'5 Operating &amp; waterfall'!F25&gt;0,'5 Operating &amp; waterfall'!G25&gt;0,'5 Operating &amp; waterfall'!H25&gt;0,'5 Operating &amp; waterfall'!I25&gt;0,'5 Operating &amp; waterfall'!E25+'5 Operating &amp; waterfall'!F25+'5 Operating &amp; waterfall'!G25+'5 Operating &amp; waterfall'!H25+'5 Operating &amp; waterfall'!I25&lt;10000),"PASS","FAIL"))</f>
        <v/>
      </c>
      <c r="E25" s="5" t="str">
        <f aca="false">IF('5 Operating &amp; waterfall'!J25="","",IF('5 Operating &amp; waterfall'!J25&gt;0,"PASS","FAIL"))</f>
        <v/>
      </c>
      <c r="F25" s="5" t="str">
        <f aca="false">IF('6 Time'!D25="","",IF('6 Time'!D25*'4 Units &amp; ladder'!E25&lt;='6 Time'!C25,"PASS","FAIL"))</f>
        <v/>
      </c>
      <c r="G25" s="5" t="str">
        <f aca="false">IF('4 Units &amp; ladder'!G25="","",IF('4 Units &amp; ladder'!G25&lt;='4 Units &amp; ladder'!E25,"PASS","FAIL"))</f>
        <v/>
      </c>
      <c r="H25" s="5"/>
    </row>
    <row r="27" customFormat="false" ht="15" hidden="false" customHeight="false" outlineLevel="0" collapsed="false">
      <c r="A27" s="3" t="s">
        <v>186</v>
      </c>
    </row>
    <row r="28" customFormat="false" ht="27.75" hidden="false" customHeight="true" outlineLevel="0" collapsed="false">
      <c r="A28" s="3" t="s">
        <v>179</v>
      </c>
      <c r="B28" s="19" t="s">
        <v>187</v>
      </c>
      <c r="C28" s="19"/>
      <c r="D28" s="19"/>
      <c r="E28" s="19"/>
      <c r="F28" s="19"/>
      <c r="G28" s="19"/>
      <c r="H28" s="19"/>
    </row>
    <row r="29" customFormat="false" ht="27.75" hidden="false" customHeight="true" outlineLevel="0" collapsed="false">
      <c r="A29" s="3" t="s">
        <v>180</v>
      </c>
      <c r="B29" s="19" t="s">
        <v>188</v>
      </c>
      <c r="C29" s="19"/>
      <c r="D29" s="19"/>
      <c r="E29" s="19"/>
      <c r="F29" s="19"/>
      <c r="G29" s="19"/>
      <c r="H29" s="19"/>
    </row>
    <row r="30" customFormat="false" ht="27.75" hidden="false" customHeight="true" outlineLevel="0" collapsed="false">
      <c r="A30" s="3" t="s">
        <v>181</v>
      </c>
      <c r="B30" s="19" t="s">
        <v>189</v>
      </c>
      <c r="C30" s="19"/>
      <c r="D30" s="19"/>
      <c r="E30" s="19"/>
      <c r="F30" s="19"/>
      <c r="G30" s="19"/>
      <c r="H30" s="19"/>
    </row>
    <row r="31" customFormat="false" ht="27.75" hidden="false" customHeight="true" outlineLevel="0" collapsed="false">
      <c r="A31" s="3" t="s">
        <v>182</v>
      </c>
      <c r="B31" s="19" t="s">
        <v>190</v>
      </c>
      <c r="C31" s="19"/>
      <c r="D31" s="19"/>
      <c r="E31" s="19"/>
      <c r="F31" s="19"/>
      <c r="G31" s="19"/>
      <c r="H31" s="19"/>
    </row>
    <row r="32" customFormat="false" ht="27.75" hidden="false" customHeight="true" outlineLevel="0" collapsed="false">
      <c r="A32" s="3" t="s">
        <v>183</v>
      </c>
      <c r="B32" s="19" t="s">
        <v>191</v>
      </c>
      <c r="C32" s="19"/>
      <c r="D32" s="19"/>
      <c r="E32" s="19"/>
      <c r="F32" s="19"/>
      <c r="G32" s="19"/>
      <c r="H32" s="19"/>
    </row>
    <row r="33" customFormat="false" ht="27.75" hidden="false" customHeight="true" outlineLevel="0" collapsed="false">
      <c r="A33" s="3" t="s">
        <v>184</v>
      </c>
      <c r="B33" s="19" t="s">
        <v>192</v>
      </c>
      <c r="C33" s="19"/>
      <c r="D33" s="19"/>
      <c r="E33" s="19"/>
      <c r="F33" s="19"/>
      <c r="G33" s="19"/>
      <c r="H33" s="19"/>
    </row>
  </sheetData>
  <mergeCells count="7">
    <mergeCell ref="A2:H2"/>
    <mergeCell ref="B28:H28"/>
    <mergeCell ref="B29:H29"/>
    <mergeCell ref="B30:H30"/>
    <mergeCell ref="B31:H31"/>
    <mergeCell ref="B32:H32"/>
    <mergeCell ref="B33:H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60"/>
  </cols>
  <sheetData>
    <row r="1" customFormat="false" ht="19.7" hidden="false" customHeight="false" outlineLevel="0" collapsed="false">
      <c r="A1" s="1" t="s">
        <v>193</v>
      </c>
    </row>
    <row r="2" customFormat="false" ht="31.5" hidden="false" customHeight="true" outlineLevel="0" collapsed="false">
      <c r="A2" s="6" t="s">
        <v>194</v>
      </c>
      <c r="B2" s="6"/>
      <c r="C2" s="6"/>
      <c r="D2" s="6"/>
      <c r="E2" s="6"/>
      <c r="F2" s="6"/>
    </row>
    <row r="4" customFormat="false" ht="42" hidden="false" customHeight="true" outlineLevel="0" collapsed="false">
      <c r="A4" s="7" t="s">
        <v>195</v>
      </c>
      <c r="B4" s="7" t="s">
        <v>196</v>
      </c>
      <c r="C4" s="7" t="s">
        <v>197</v>
      </c>
      <c r="D4" s="7" t="s">
        <v>55</v>
      </c>
      <c r="E4" s="7" t="s">
        <v>198</v>
      </c>
      <c r="F4" s="7" t="s">
        <v>199</v>
      </c>
    </row>
    <row r="5" customFormat="false" ht="23.85" hidden="false" customHeight="false" outlineLevel="0" collapsed="false">
      <c r="A5" s="20" t="s">
        <v>200</v>
      </c>
      <c r="B5" s="20" t="s">
        <v>201</v>
      </c>
      <c r="C5" s="20" t="s">
        <v>202</v>
      </c>
      <c r="D5" s="20" t="s">
        <v>203</v>
      </c>
      <c r="E5" s="20" t="s">
        <v>204</v>
      </c>
      <c r="F5" s="20" t="s">
        <v>205</v>
      </c>
    </row>
    <row r="6" customFormat="false" ht="23.85" hidden="false" customHeight="false" outlineLevel="0" collapsed="false">
      <c r="A6" s="20" t="s">
        <v>206</v>
      </c>
      <c r="B6" s="20" t="s">
        <v>207</v>
      </c>
      <c r="C6" s="20" t="s">
        <v>208</v>
      </c>
      <c r="D6" s="20" t="s">
        <v>209</v>
      </c>
      <c r="E6" s="20" t="s">
        <v>210</v>
      </c>
      <c r="F6" s="20" t="s">
        <v>211</v>
      </c>
    </row>
    <row r="7" customFormat="false" ht="23.85" hidden="false" customHeight="false" outlineLevel="0" collapsed="false">
      <c r="A7" s="20" t="s">
        <v>212</v>
      </c>
      <c r="B7" s="20" t="s">
        <v>213</v>
      </c>
      <c r="C7" s="20" t="s">
        <v>214</v>
      </c>
      <c r="D7" s="20" t="s">
        <v>215</v>
      </c>
      <c r="E7" s="20" t="s">
        <v>216</v>
      </c>
      <c r="F7" s="20" t="s">
        <v>217</v>
      </c>
    </row>
    <row r="8" customFormat="false" ht="15" hidden="false" customHeight="false" outlineLevel="0" collapsed="false">
      <c r="A8" s="9"/>
      <c r="B8" s="9"/>
      <c r="C8" s="9"/>
      <c r="D8" s="9"/>
      <c r="E8" s="9"/>
      <c r="F8" s="9"/>
    </row>
    <row r="9" customFormat="false" ht="33.75" hidden="false" customHeight="true" outlineLevel="0" collapsed="false">
      <c r="A9" s="21" t="s">
        <v>218</v>
      </c>
      <c r="B9" s="21"/>
      <c r="C9" s="21"/>
      <c r="D9" s="21"/>
      <c r="E9" s="21"/>
      <c r="F9" s="21"/>
    </row>
    <row r="10" customFormat="false" ht="15" hidden="false" customHeight="false" outlineLevel="0" collapsed="false">
      <c r="A10" s="9"/>
      <c r="B10" s="9"/>
      <c r="C10" s="9"/>
      <c r="D10" s="9"/>
      <c r="E10" s="9"/>
      <c r="F10" s="9"/>
    </row>
    <row r="11" customFormat="false" ht="33.75" hidden="false" customHeight="true" outlineLevel="0" collapsed="false">
      <c r="A11" s="21" t="s">
        <v>219</v>
      </c>
      <c r="B11" s="21"/>
      <c r="C11" s="21"/>
      <c r="D11" s="21"/>
      <c r="E11" s="21"/>
      <c r="F11" s="21"/>
    </row>
    <row r="12" customFormat="false" ht="15" hidden="false" customHeight="false" outlineLevel="0" collapsed="false">
      <c r="A12" s="9"/>
      <c r="B12" s="9"/>
      <c r="C12" s="9"/>
      <c r="D12" s="9"/>
      <c r="E12" s="9"/>
      <c r="F12" s="9"/>
    </row>
    <row r="13" customFormat="false" ht="15" hidden="false" customHeight="false" outlineLevel="0" collapsed="false">
      <c r="A13" s="9"/>
      <c r="B13" s="9"/>
      <c r="C13" s="9"/>
      <c r="D13" s="9"/>
      <c r="E13" s="9"/>
      <c r="F13" s="9"/>
    </row>
    <row r="14" customFormat="false" ht="15" hidden="false" customHeight="false" outlineLevel="0" collapsed="false">
      <c r="A14" s="9"/>
      <c r="B14" s="9"/>
      <c r="C14" s="9"/>
      <c r="D14" s="9"/>
      <c r="E14" s="9"/>
      <c r="F14" s="9"/>
    </row>
    <row r="15" customFormat="false" ht="15" hidden="false" customHeight="false" outlineLevel="0" collapsed="false">
      <c r="A15" s="9"/>
      <c r="B15" s="9"/>
      <c r="C15" s="9"/>
      <c r="D15" s="9"/>
      <c r="E15" s="9"/>
      <c r="F15" s="9"/>
    </row>
    <row r="16" customFormat="false" ht="15" hidden="false" customHeight="false" outlineLevel="0" collapsed="false">
      <c r="A16" s="9"/>
      <c r="B16" s="9"/>
      <c r="C16" s="9"/>
      <c r="D16" s="9"/>
      <c r="E16" s="9"/>
      <c r="F16" s="9"/>
    </row>
    <row r="17" customFormat="false" ht="15" hidden="false" customHeight="false" outlineLevel="0" collapsed="false">
      <c r="A17" s="9"/>
      <c r="B17" s="9"/>
      <c r="C17" s="9"/>
      <c r="D17" s="9"/>
      <c r="E17" s="9"/>
      <c r="F17" s="9"/>
    </row>
    <row r="18" customFormat="false" ht="15" hidden="false" customHeight="false" outlineLevel="0" collapsed="false">
      <c r="A18" s="9"/>
      <c r="B18" s="9"/>
      <c r="C18" s="9"/>
      <c r="D18" s="9"/>
      <c r="E18" s="9"/>
      <c r="F18" s="9"/>
    </row>
    <row r="19" customFormat="false" ht="15" hidden="false" customHeight="false" outlineLevel="0" collapsed="false">
      <c r="A19" s="9"/>
      <c r="B19" s="9"/>
      <c r="C19" s="9"/>
      <c r="D19" s="9"/>
      <c r="E19" s="9"/>
      <c r="F19" s="9"/>
    </row>
    <row r="20" customFormat="false" ht="15" hidden="false" customHeight="false" outlineLevel="0" collapsed="false">
      <c r="A20" s="9"/>
      <c r="B20" s="9"/>
      <c r="C20" s="9"/>
      <c r="D20" s="9"/>
      <c r="E20" s="9"/>
      <c r="F20" s="9"/>
    </row>
    <row r="21" customFormat="false" ht="15" hidden="false" customHeight="false" outlineLevel="0" collapsed="false">
      <c r="A21" s="9"/>
      <c r="B21" s="9"/>
      <c r="C21" s="9"/>
      <c r="D21" s="9"/>
      <c r="E21" s="9"/>
      <c r="F21" s="9"/>
    </row>
    <row r="22" customFormat="false" ht="15" hidden="false" customHeight="false" outlineLevel="0" collapsed="false">
      <c r="A22" s="9"/>
      <c r="B22" s="9"/>
      <c r="C22" s="9"/>
      <c r="D22" s="9"/>
      <c r="E22" s="9"/>
      <c r="F22" s="9"/>
    </row>
    <row r="23" customFormat="false" ht="15" hidden="false" customHeight="false" outlineLevel="0" collapsed="false">
      <c r="A23" s="9"/>
      <c r="B23" s="9"/>
      <c r="C23" s="9"/>
      <c r="D23" s="9"/>
      <c r="E23" s="9"/>
      <c r="F23" s="9"/>
    </row>
    <row r="24" customFormat="false" ht="15" hidden="false" customHeight="false" outlineLevel="0" collapsed="false">
      <c r="A24" s="9"/>
      <c r="B24" s="9"/>
      <c r="C24" s="9"/>
      <c r="D24" s="9"/>
      <c r="E24" s="9"/>
      <c r="F24" s="9"/>
    </row>
    <row r="25" customFormat="false" ht="15" hidden="false" customHeight="false" outlineLevel="0" collapsed="false">
      <c r="A25" s="9"/>
      <c r="B25" s="9"/>
      <c r="C25" s="9"/>
      <c r="D25" s="9"/>
      <c r="E25" s="9"/>
      <c r="F25" s="9"/>
    </row>
  </sheetData>
  <mergeCells count="3">
    <mergeCell ref="A2:F2"/>
    <mergeCell ref="A9:F9"/>
    <mergeCell ref="A11:F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61D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40"/>
    <col collapsed="false" customWidth="true" hidden="false" outlineLevel="0" max="4" min="4" style="0" width="26"/>
    <col collapsed="false" customWidth="true" hidden="false" outlineLevel="0" max="5" min="5" style="0" width="14"/>
  </cols>
  <sheetData>
    <row r="1" customFormat="false" ht="19.7" hidden="false" customHeight="false" outlineLevel="0" collapsed="false">
      <c r="A1" s="1" t="s">
        <v>220</v>
      </c>
    </row>
    <row r="2" customFormat="false" ht="31.5" hidden="false" customHeight="true" outlineLevel="0" collapsed="false">
      <c r="A2" s="6" t="s">
        <v>221</v>
      </c>
      <c r="B2" s="6"/>
      <c r="C2" s="6"/>
      <c r="D2" s="6"/>
      <c r="E2" s="6"/>
    </row>
    <row r="4" customFormat="false" ht="42" hidden="false" customHeight="true" outlineLevel="0" collapsed="false">
      <c r="A4" s="7" t="s">
        <v>222</v>
      </c>
      <c r="B4" s="7" t="s">
        <v>223</v>
      </c>
      <c r="C4" s="7" t="s">
        <v>224</v>
      </c>
      <c r="D4" s="7" t="s">
        <v>225</v>
      </c>
      <c r="E4" s="7" t="s">
        <v>226</v>
      </c>
    </row>
    <row r="5" customFormat="false" ht="15" hidden="false" customHeight="false" outlineLevel="0" collapsed="false">
      <c r="A5" s="22" t="s">
        <v>227</v>
      </c>
      <c r="B5" s="22" t="s">
        <v>29</v>
      </c>
      <c r="C5" s="23" t="s">
        <v>228</v>
      </c>
      <c r="D5" s="23" t="s">
        <v>229</v>
      </c>
      <c r="E5" s="23" t="s">
        <v>230</v>
      </c>
    </row>
    <row r="6" customFormat="false" ht="15" hidden="false" customHeight="false" outlineLevel="0" collapsed="false">
      <c r="A6" s="24" t="s">
        <v>227</v>
      </c>
      <c r="B6" s="24" t="s">
        <v>30</v>
      </c>
      <c r="C6" s="25" t="s">
        <v>228</v>
      </c>
      <c r="D6" s="25" t="s">
        <v>231</v>
      </c>
      <c r="E6" s="25" t="s">
        <v>232</v>
      </c>
    </row>
    <row r="7" customFormat="false" ht="15" hidden="false" customHeight="false" outlineLevel="0" collapsed="false">
      <c r="A7" s="22" t="s">
        <v>227</v>
      </c>
      <c r="B7" s="22" t="s">
        <v>233</v>
      </c>
      <c r="C7" s="23" t="s">
        <v>228</v>
      </c>
      <c r="D7" s="23" t="s">
        <v>234</v>
      </c>
      <c r="E7" s="23" t="s">
        <v>232</v>
      </c>
    </row>
    <row r="8" customFormat="false" ht="15" hidden="false" customHeight="false" outlineLevel="0" collapsed="false">
      <c r="A8" s="24" t="s">
        <v>227</v>
      </c>
      <c r="B8" s="24" t="s">
        <v>34</v>
      </c>
      <c r="C8" s="25" t="s">
        <v>228</v>
      </c>
      <c r="D8" s="25" t="s">
        <v>235</v>
      </c>
      <c r="E8" s="25" t="s">
        <v>232</v>
      </c>
    </row>
    <row r="9" customFormat="false" ht="15" hidden="false" customHeight="false" outlineLevel="0" collapsed="false">
      <c r="A9" s="22" t="s">
        <v>227</v>
      </c>
      <c r="B9" s="22" t="s">
        <v>31</v>
      </c>
      <c r="C9" s="23" t="s">
        <v>236</v>
      </c>
      <c r="D9" s="23" t="s">
        <v>237</v>
      </c>
      <c r="E9" s="23" t="s">
        <v>238</v>
      </c>
    </row>
    <row r="10" customFormat="false" ht="15" hidden="false" customHeight="false" outlineLevel="0" collapsed="false">
      <c r="A10" s="24" t="s">
        <v>227</v>
      </c>
      <c r="B10" s="24" t="s">
        <v>38</v>
      </c>
      <c r="C10" s="25" t="s">
        <v>236</v>
      </c>
      <c r="D10" s="25" t="s">
        <v>239</v>
      </c>
      <c r="E10" s="25" t="s">
        <v>240</v>
      </c>
    </row>
    <row r="11" customFormat="false" ht="15" hidden="false" customHeight="false" outlineLevel="0" collapsed="false">
      <c r="A11" s="22" t="s">
        <v>227</v>
      </c>
      <c r="B11" s="22" t="s">
        <v>39</v>
      </c>
      <c r="C11" s="23" t="s">
        <v>241</v>
      </c>
      <c r="D11" s="23" t="s">
        <v>242</v>
      </c>
      <c r="E11" s="23" t="s">
        <v>232</v>
      </c>
    </row>
    <row r="12" customFormat="false" ht="15" hidden="false" customHeight="false" outlineLevel="0" collapsed="false">
      <c r="A12" s="24" t="s">
        <v>243</v>
      </c>
      <c r="B12" s="24" t="s">
        <v>53</v>
      </c>
      <c r="C12" s="25" t="s">
        <v>244</v>
      </c>
      <c r="D12" s="25" t="s">
        <v>245</v>
      </c>
      <c r="E12" s="25" t="s">
        <v>246</v>
      </c>
    </row>
    <row r="13" customFormat="false" ht="15" hidden="false" customHeight="false" outlineLevel="0" collapsed="false">
      <c r="A13" s="22" t="s">
        <v>243</v>
      </c>
      <c r="B13" s="22" t="s">
        <v>54</v>
      </c>
      <c r="C13" s="23" t="s">
        <v>244</v>
      </c>
      <c r="D13" s="23" t="s">
        <v>247</v>
      </c>
      <c r="E13" s="23" t="s">
        <v>232</v>
      </c>
    </row>
    <row r="14" customFormat="false" ht="15" hidden="false" customHeight="false" outlineLevel="0" collapsed="false">
      <c r="A14" s="24" t="s">
        <v>243</v>
      </c>
      <c r="B14" s="24" t="s">
        <v>55</v>
      </c>
      <c r="C14" s="25" t="s">
        <v>244</v>
      </c>
      <c r="D14" s="25" t="s">
        <v>248</v>
      </c>
      <c r="E14" s="25" t="s">
        <v>249</v>
      </c>
    </row>
    <row r="15" customFormat="false" ht="15" hidden="false" customHeight="false" outlineLevel="0" collapsed="false">
      <c r="A15" s="22" t="s">
        <v>243</v>
      </c>
      <c r="B15" s="22" t="s">
        <v>57</v>
      </c>
      <c r="C15" s="23" t="s">
        <v>250</v>
      </c>
      <c r="D15" s="23" t="s">
        <v>251</v>
      </c>
      <c r="E15" s="23" t="s">
        <v>252</v>
      </c>
    </row>
    <row r="16" customFormat="false" ht="15" hidden="false" customHeight="false" outlineLevel="0" collapsed="false">
      <c r="A16" s="24" t="s">
        <v>243</v>
      </c>
      <c r="B16" s="24" t="s">
        <v>58</v>
      </c>
      <c r="C16" s="25" t="s">
        <v>244</v>
      </c>
      <c r="D16" s="25" t="s">
        <v>253</v>
      </c>
      <c r="E16" s="25" t="s">
        <v>254</v>
      </c>
    </row>
    <row r="17" customFormat="false" ht="15" hidden="false" customHeight="false" outlineLevel="0" collapsed="false">
      <c r="A17" s="22" t="s">
        <v>243</v>
      </c>
      <c r="B17" s="22" t="s">
        <v>59</v>
      </c>
      <c r="C17" s="23" t="s">
        <v>228</v>
      </c>
      <c r="D17" s="23" t="s">
        <v>255</v>
      </c>
      <c r="E17" s="23" t="s">
        <v>232</v>
      </c>
    </row>
    <row r="18" customFormat="false" ht="15" hidden="false" customHeight="false" outlineLevel="0" collapsed="false">
      <c r="A18" s="24" t="s">
        <v>243</v>
      </c>
      <c r="B18" s="24" t="s">
        <v>38</v>
      </c>
      <c r="C18" s="25" t="s">
        <v>244</v>
      </c>
      <c r="D18" s="25" t="s">
        <v>256</v>
      </c>
      <c r="E18" s="25" t="s">
        <v>257</v>
      </c>
    </row>
    <row r="19" customFormat="false" ht="15" hidden="false" customHeight="false" outlineLevel="0" collapsed="false">
      <c r="A19" s="22" t="s">
        <v>243</v>
      </c>
      <c r="B19" s="22" t="s">
        <v>61</v>
      </c>
      <c r="C19" s="23" t="s">
        <v>244</v>
      </c>
      <c r="D19" s="23" t="s">
        <v>258</v>
      </c>
      <c r="E19" s="23" t="s">
        <v>259</v>
      </c>
    </row>
    <row r="20" customFormat="false" ht="15" hidden="false" customHeight="false" outlineLevel="0" collapsed="false">
      <c r="A20" s="24" t="s">
        <v>243</v>
      </c>
      <c r="B20" s="24" t="s">
        <v>62</v>
      </c>
      <c r="C20" s="25" t="s">
        <v>244</v>
      </c>
      <c r="D20" s="25" t="s">
        <v>260</v>
      </c>
      <c r="E20" s="25" t="s">
        <v>232</v>
      </c>
    </row>
    <row r="21" customFormat="false" ht="15" hidden="false" customHeight="false" outlineLevel="0" collapsed="false">
      <c r="A21" s="22" t="s">
        <v>261</v>
      </c>
      <c r="B21" s="22" t="s">
        <v>262</v>
      </c>
      <c r="C21" s="23" t="s">
        <v>228</v>
      </c>
      <c r="D21" s="23" t="s">
        <v>263</v>
      </c>
      <c r="E21" s="23" t="s">
        <v>232</v>
      </c>
    </row>
    <row r="22" customFormat="false" ht="15" hidden="false" customHeight="false" outlineLevel="0" collapsed="false">
      <c r="A22" s="24" t="s">
        <v>261</v>
      </c>
      <c r="B22" s="24" t="s">
        <v>264</v>
      </c>
      <c r="C22" s="25" t="s">
        <v>228</v>
      </c>
      <c r="D22" s="25" t="s">
        <v>265</v>
      </c>
      <c r="E22" s="25" t="s">
        <v>232</v>
      </c>
    </row>
    <row r="23" customFormat="false" ht="15" hidden="false" customHeight="false" outlineLevel="0" collapsed="false">
      <c r="A23" s="22" t="s">
        <v>261</v>
      </c>
      <c r="B23" s="22" t="s">
        <v>266</v>
      </c>
      <c r="C23" s="23" t="s">
        <v>228</v>
      </c>
      <c r="D23" s="23" t="s">
        <v>267</v>
      </c>
      <c r="E23" s="23" t="s">
        <v>232</v>
      </c>
    </row>
    <row r="24" customFormat="false" ht="15" hidden="false" customHeight="false" outlineLevel="0" collapsed="false">
      <c r="A24" s="24" t="s">
        <v>268</v>
      </c>
      <c r="B24" s="24" t="s">
        <v>269</v>
      </c>
      <c r="C24" s="25" t="s">
        <v>228</v>
      </c>
      <c r="D24" s="25" t="s">
        <v>270</v>
      </c>
      <c r="E24" s="25" t="s">
        <v>232</v>
      </c>
    </row>
    <row r="25" customFormat="false" ht="15" hidden="false" customHeight="false" outlineLevel="0" collapsed="false">
      <c r="A25" s="22" t="s">
        <v>268</v>
      </c>
      <c r="B25" s="22" t="s">
        <v>87</v>
      </c>
      <c r="C25" s="23" t="s">
        <v>228</v>
      </c>
      <c r="D25" s="23" t="s">
        <v>271</v>
      </c>
      <c r="E25" s="23" t="s">
        <v>272</v>
      </c>
    </row>
    <row r="26" customFormat="false" ht="15" hidden="false" customHeight="false" outlineLevel="0" collapsed="false">
      <c r="A26" s="24" t="s">
        <v>268</v>
      </c>
      <c r="B26" s="24" t="s">
        <v>273</v>
      </c>
      <c r="C26" s="25" t="s">
        <v>228</v>
      </c>
      <c r="D26" s="25" t="s">
        <v>274</v>
      </c>
      <c r="E26" s="25" t="s">
        <v>232</v>
      </c>
    </row>
    <row r="27" customFormat="false" ht="15" hidden="false" customHeight="false" outlineLevel="0" collapsed="false">
      <c r="A27" s="22" t="s">
        <v>268</v>
      </c>
      <c r="B27" s="22" t="s">
        <v>89</v>
      </c>
      <c r="C27" s="23" t="s">
        <v>228</v>
      </c>
      <c r="D27" s="23" t="s">
        <v>275</v>
      </c>
      <c r="E27" s="23" t="s">
        <v>232</v>
      </c>
    </row>
    <row r="28" customFormat="false" ht="15" hidden="false" customHeight="false" outlineLevel="0" collapsed="false">
      <c r="A28" s="24" t="s">
        <v>268</v>
      </c>
      <c r="B28" s="24" t="s">
        <v>276</v>
      </c>
      <c r="C28" s="25" t="s">
        <v>228</v>
      </c>
      <c r="D28" s="25" t="s">
        <v>277</v>
      </c>
      <c r="E28" s="25" t="s">
        <v>232</v>
      </c>
    </row>
    <row r="29" customFormat="false" ht="15" hidden="false" customHeight="false" outlineLevel="0" collapsed="false">
      <c r="A29" s="22" t="s">
        <v>278</v>
      </c>
      <c r="B29" s="22" t="s">
        <v>279</v>
      </c>
      <c r="C29" s="23" t="s">
        <v>228</v>
      </c>
      <c r="D29" s="23" t="s">
        <v>280</v>
      </c>
      <c r="E29" s="23" t="s">
        <v>232</v>
      </c>
    </row>
    <row r="30" customFormat="false" ht="15" hidden="false" customHeight="false" outlineLevel="0" collapsed="false">
      <c r="A30" s="24" t="s">
        <v>278</v>
      </c>
      <c r="B30" s="24" t="s">
        <v>281</v>
      </c>
      <c r="C30" s="25" t="s">
        <v>228</v>
      </c>
      <c r="D30" s="25" t="s">
        <v>282</v>
      </c>
      <c r="E30" s="25" t="s">
        <v>232</v>
      </c>
    </row>
    <row r="31" customFormat="false" ht="15" hidden="false" customHeight="false" outlineLevel="0" collapsed="false">
      <c r="A31" s="22" t="s">
        <v>278</v>
      </c>
      <c r="B31" s="22" t="s">
        <v>283</v>
      </c>
      <c r="C31" s="23" t="s">
        <v>228</v>
      </c>
      <c r="D31" s="23" t="s">
        <v>284</v>
      </c>
      <c r="E31" s="23" t="s">
        <v>232</v>
      </c>
    </row>
    <row r="32" customFormat="false" ht="15" hidden="false" customHeight="false" outlineLevel="0" collapsed="false">
      <c r="A32" s="24" t="s">
        <v>278</v>
      </c>
      <c r="B32" s="24" t="s">
        <v>285</v>
      </c>
      <c r="C32" s="25" t="s">
        <v>244</v>
      </c>
      <c r="D32" s="25" t="s">
        <v>286</v>
      </c>
      <c r="E32" s="25" t="s">
        <v>287</v>
      </c>
    </row>
    <row r="33" customFormat="false" ht="15" hidden="false" customHeight="false" outlineLevel="0" collapsed="false">
      <c r="A33" s="22" t="s">
        <v>278</v>
      </c>
      <c r="B33" s="22" t="s">
        <v>105</v>
      </c>
      <c r="C33" s="23" t="s">
        <v>244</v>
      </c>
      <c r="D33" s="23" t="s">
        <v>288</v>
      </c>
      <c r="E33" s="23" t="s">
        <v>232</v>
      </c>
    </row>
    <row r="34" customFormat="false" ht="15" hidden="false" customHeight="false" outlineLevel="0" collapsed="false">
      <c r="A34" s="24" t="s">
        <v>289</v>
      </c>
      <c r="B34" s="24" t="s">
        <v>290</v>
      </c>
      <c r="C34" s="25" t="s">
        <v>228</v>
      </c>
      <c r="D34" s="25" t="s">
        <v>291</v>
      </c>
      <c r="E34" s="25" t="s">
        <v>232</v>
      </c>
    </row>
    <row r="35" customFormat="false" ht="15" hidden="false" customHeight="false" outlineLevel="0" collapsed="false">
      <c r="A35" s="22" t="s">
        <v>289</v>
      </c>
      <c r="B35" s="22" t="s">
        <v>115</v>
      </c>
      <c r="C35" s="23" t="s">
        <v>292</v>
      </c>
      <c r="D35" s="23" t="s">
        <v>293</v>
      </c>
      <c r="E35" s="23" t="s">
        <v>232</v>
      </c>
    </row>
    <row r="36" customFormat="false" ht="15" hidden="false" customHeight="false" outlineLevel="0" collapsed="false">
      <c r="A36" s="24" t="s">
        <v>294</v>
      </c>
      <c r="B36" s="24" t="s">
        <v>295</v>
      </c>
      <c r="C36" s="25" t="s">
        <v>228</v>
      </c>
      <c r="D36" s="25" t="s">
        <v>296</v>
      </c>
      <c r="E36" s="25" t="s">
        <v>297</v>
      </c>
    </row>
    <row r="37" customFormat="false" ht="15" hidden="false" customHeight="false" outlineLevel="0" collapsed="false">
      <c r="A37" s="22" t="s">
        <v>298</v>
      </c>
      <c r="B37" s="22" t="s">
        <v>299</v>
      </c>
      <c r="C37" s="23" t="s">
        <v>228</v>
      </c>
      <c r="D37" s="23" t="s">
        <v>300</v>
      </c>
      <c r="E37" s="23" t="s">
        <v>232</v>
      </c>
    </row>
    <row r="38" customFormat="false" ht="15" hidden="false" customHeight="false" outlineLevel="0" collapsed="false">
      <c r="A38" s="24" t="s">
        <v>301</v>
      </c>
      <c r="B38" s="24" t="s">
        <v>299</v>
      </c>
      <c r="C38" s="25" t="s">
        <v>228</v>
      </c>
      <c r="D38" s="25" t="s">
        <v>302</v>
      </c>
      <c r="E38" s="25" t="s">
        <v>232</v>
      </c>
    </row>
    <row r="39" customFormat="false" ht="15" hidden="false" customHeight="false" outlineLevel="0" collapsed="false">
      <c r="A39" s="22" t="s">
        <v>303</v>
      </c>
      <c r="B39" s="22" t="s">
        <v>299</v>
      </c>
      <c r="C39" s="23" t="s">
        <v>304</v>
      </c>
      <c r="D39" s="23" t="s">
        <v>305</v>
      </c>
      <c r="E39" s="23" t="s">
        <v>232</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2026-08-01T07:46:00Z</dcterms:created>
  <dc:creator>openpyxl</dc:creator>
  <dc:description/>
  <dc:language>en-IN</dc:language>
  <cp:lastModifiedBy/>
  <dcterms:modified xsi:type="dcterms:W3CDTF">2026-08-01T07:46:00Z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