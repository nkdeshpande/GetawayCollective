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llection" sheetId="2" state="visible" r:id="rId2"/>
    <sheet xmlns:r="http://schemas.openxmlformats.org/officeDocument/2006/relationships" name="Capital" sheetId="3" state="visible" r:id="rId3"/>
    <sheet xmlns:r="http://schemas.openxmlformats.org/officeDocument/2006/relationships" name="Waterfall" sheetId="4" state="visible" r:id="rId4"/>
    <sheet xmlns:r="http://schemas.openxmlformats.org/officeDocument/2006/relationships" name="Time &amp; Governance" sheetId="5" state="visible" r:id="rId5"/>
    <sheet xmlns:r="http://schemas.openxmlformats.org/officeDocument/2006/relationships" name="Estate &amp; Design" sheetId="6" state="visible" r:id="rId6"/>
    <sheet xmlns:r="http://schemas.openxmlformats.org/officeDocument/2006/relationships" name="Pipeline" sheetId="7" state="visible" r:id="rId7"/>
    <sheet xmlns:r="http://schemas.openxmlformats.org/officeDocument/2006/relationships" name="Conflic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A1A1A"/>
      <sz val="16"/>
    </font>
    <font>
      <name val="Arial"/>
      <color rgb="00666666"/>
      <sz val="9"/>
    </font>
    <font>
      <name val="Arial"/>
      <b val="1"/>
      <sz val="10"/>
    </font>
    <font>
      <name val="Arial"/>
      <sz val="10"/>
    </font>
    <font>
      <name val="Arial"/>
      <color rgb="00008000"/>
      <sz val="10"/>
    </font>
    <font>
      <name val="Arial"/>
      <b val="1"/>
      <color rgb="00FFFFFF"/>
      <sz val="11"/>
    </font>
    <font>
      <name val="Arial"/>
      <color rgb="000000FF"/>
      <sz val="10"/>
    </font>
    <font>
      <name val="Arial"/>
      <b val="1"/>
      <color rgb="00C00000"/>
      <sz val="10"/>
    </font>
    <font>
      <name val="Arial"/>
      <color rgb="00000000"/>
      <sz val="10"/>
    </font>
  </fonts>
  <fills count="7">
    <fill>
      <patternFill/>
    </fill>
    <fill>
      <patternFill patternType="gray125"/>
    </fill>
    <fill>
      <patternFill patternType="solid">
        <fgColor rgb="001F3B34"/>
      </patternFill>
    </fill>
    <fill>
      <patternFill patternType="solid">
        <fgColor rgb="00FCE4E4"/>
      </patternFill>
    </fill>
    <fill>
      <patternFill patternType="solid">
        <fgColor rgb="00E6F4EA"/>
      </patternFill>
    </fill>
    <fill>
      <patternFill patternType="solid">
        <fgColor rgb="00F2F5F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0" borderId="0" pivotButton="0" quotePrefix="0" xfId="0"/>
    <xf numFmtId="0" fontId="4" fillId="0" borderId="0" pivotButton="0" quotePrefix="0" xfId="0"/>
    <xf numFmtId="0" fontId="6" fillId="2" borderId="1" applyAlignment="1" pivotButton="0" quotePrefix="0" xfId="0">
      <alignment vertical="center" wrapText="1"/>
    </xf>
    <xf numFmtId="0" fontId="7" fillId="0" borderId="1" applyAlignment="1" pivotButton="0" quotePrefix="0" xfId="0">
      <alignment vertical="top" wrapText="1"/>
    </xf>
    <xf numFmtId="164" fontId="7" fillId="0" borderId="1" applyAlignment="1" pivotButton="0" quotePrefix="0" xfId="0">
      <alignment vertical="top" wrapText="1"/>
    </xf>
    <xf numFmtId="0" fontId="8" fillId="3" borderId="1" applyAlignment="1" pivotButton="0" quotePrefix="0" xfId="0">
      <alignment vertical="top" wrapText="1"/>
    </xf>
    <xf numFmtId="0" fontId="9" fillId="4" borderId="1" applyAlignment="1" pivotButton="0" quotePrefix="0" xfId="0">
      <alignment vertical="top" wrapText="1"/>
    </xf>
    <xf numFmtId="165" fontId="9" fillId="0" borderId="1" pivotButton="0" quotePrefix="0" xfId="0"/>
    <xf numFmtId="164" fontId="9" fillId="0" borderId="1" pivotButton="0" quotePrefix="0" xfId="0"/>
    <xf numFmtId="0" fontId="3" fillId="0" borderId="1" pivotButton="0" quotePrefix="0" xfId="0"/>
    <xf numFmtId="164" fontId="7" fillId="0" borderId="1" pivotButton="0" quotePrefix="0" xfId="0"/>
    <xf numFmtId="0" fontId="2" fillId="0" borderId="1" applyAlignment="1" pivotButton="0" quotePrefix="0" xfId="0">
      <alignment vertical="top" wrapText="1"/>
    </xf>
    <xf numFmtId="0" fontId="9" fillId="0" borderId="1" pivotButton="0" quotePrefix="0" xfId="0"/>
    <xf numFmtId="0" fontId="3" fillId="5" borderId="0" pivotButton="0" quotePrefix="0" xfId="0"/>
    <xf numFmtId="10" fontId="9" fillId="0" borderId="1" pivotButton="0" quotePrefix="0" xfId="0"/>
    <xf numFmtId="165" fontId="7" fillId="0" borderId="1" pivotButton="0" quotePrefix="0" xfId="0"/>
    <xf numFmtId="0" fontId="7" fillId="0" borderId="1" pivotButton="0" quotePrefix="0" xfId="0"/>
    <xf numFmtId="165" fontId="7" fillId="6" borderId="1" pivotButton="0" quotePrefix="0" xfId="0"/>
    <xf numFmtId="10" fontId="5" fillId="0" borderId="1" pivotButton="0" quotePrefix="0" xfId="0"/>
    <xf numFmtId="164" fontId="7" fillId="6" borderId="1" pivotButton="0" quotePrefix="0" xfId="0"/>
    <xf numFmtId="165" fontId="7" fillId="0" borderId="1" applyAlignment="1" pivotButton="0" quotePrefix="0" xfId="0">
      <alignment vertical="top" wrapText="1"/>
    </xf>
    <xf numFmtId="0" fontId="7" fillId="6"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165" fontId="8" fillId="0" borderId="1" applyAlignment="1" pivotButton="0" quotePrefix="0" xfId="0">
      <alignment vertical="top" wrapText="1"/>
    </xf>
    <xf numFmtId="0" fontId="7" fillId="0" borderId="0" pivotButton="0" quotePrefix="0" xfId="0"/>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3" fillId="6"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0" customWidth="1" min="1" max="1"/>
    <col width="96" customWidth="1" min="2" max="2"/>
  </cols>
  <sheetData>
    <row r="1">
      <c r="A1" s="1" t="inlineStr">
        <is>
          <t>GC COLLECTION — FULL VIEW</t>
        </is>
      </c>
    </row>
    <row r="2">
      <c r="A2" s="2" t="inlineStr">
        <is>
          <t>Generated from constants/vehicles.ts and constants/spatial.ts. Do not edit: rerun the generator.</t>
        </is>
      </c>
    </row>
    <row r="5" ht="46" customHeight="1">
      <c r="A5" s="3" t="inlineStr">
        <is>
          <t>What this is</t>
        </is>
      </c>
      <c r="B5" s="4" t="inlineStr">
        <is>
          <t>Every fact the platform holds about the three vehicles, in one place, folded out of the code rather than retyped. Rerun the generator and this file changes with it.</t>
        </is>
      </c>
    </row>
    <row r="6" ht="46" customHeight="1">
      <c r="A6" s="3" t="inlineStr">
        <is>
          <t>Sources</t>
        </is>
      </c>
      <c r="B6" s="4" t="inlineStr">
        <is>
          <t>GC-LLP-INTAKE-TEMPLATE.xlsx (saved 4 Aug 2026) for the LLPs · GETAWAYS SPATIAL LEDGER.xlsx for the estates, design system and deployment programme.</t>
        </is>
      </c>
    </row>
    <row r="7" ht="46" customHeight="1">
      <c r="A7" s="3" t="inlineStr">
        <is>
          <t>Read the Conflicts tab first</t>
        </is>
      </c>
      <c r="B7" s="4" t="inlineStr">
        <is>
          <t>Nine contradictions across the two documents and the existing canon. Seven are unresolved and five of those are blocking, which means no vehicle currently clears the gate to appear on a public surface. Every figure elsewhere in this workbook should be read against that tab.</t>
        </is>
      </c>
    </row>
    <row r="8" ht="46" customHeight="1">
      <c r="A8" s="3" t="inlineStr">
        <is>
          <t>Absent is not zero</t>
        </is>
      </c>
      <c r="B8" s="4" t="inlineStr">
        <is>
          <t>A blank cell means the source states nothing. It is never a zero — a reserve floor of zero reads as a vehicle with no floor rather than one nobody has set.</t>
        </is>
      </c>
    </row>
    <row r="9" ht="46" customHeight="1">
      <c r="A9" s="3" t="inlineStr">
        <is>
          <t>Nothing here is appraised</t>
        </is>
      </c>
      <c r="B9" s="4" t="inlineStr">
        <is>
          <t>No building exists on any of the three. Every valuation is a project cost and every yield is a forecast from a model, not an observation.</t>
        </is>
      </c>
    </row>
    <row r="10" ht="46" customHeight="1">
      <c r="A10" s="3" t="inlineStr">
        <is>
          <t>Colour</t>
        </is>
      </c>
      <c r="B10" s="4" t="inlineStr">
        <is>
          <t>Blue = a figure taken from a source document. Black = computed by a formula in this workbook. Green = carried from another tab. Red = a conflict or a breach.</t>
        </is>
      </c>
    </row>
    <row r="12">
      <c r="A12" s="5" t="inlineStr">
        <is>
          <t>Tabs</t>
        </is>
      </c>
    </row>
    <row r="13">
      <c r="A13" s="6" t="inlineStr">
        <is>
          <t>Collection</t>
        </is>
      </c>
      <c r="B13" s="7" t="inlineStr">
        <is>
          <t>One row per vehicle — the headline view.</t>
        </is>
      </c>
    </row>
    <row r="14">
      <c r="A14" s="6" t="inlineStr">
        <is>
          <t>Capital</t>
        </is>
      </c>
      <c r="B14" s="7" t="inlineStr">
        <is>
          <t>Stack, offering and unit economics, with the arithmetic live.</t>
        </is>
      </c>
    </row>
    <row r="15">
      <c r="A15" s="6" t="inlineStr">
        <is>
          <t>Waterfall</t>
        </is>
      </c>
      <c r="B15" s="7" t="inlineStr">
        <is>
          <t>The six stages, in order, with the 100% check.</t>
        </is>
      </c>
    </row>
    <row r="16">
      <c r="A16" s="6" t="inlineStr">
        <is>
          <t>Time &amp; Governance</t>
        </is>
      </c>
      <c r="B16" s="7" t="inlineStr">
        <is>
          <t>Entitlement pool and voting thresholds.</t>
        </is>
      </c>
    </row>
    <row r="17">
      <c r="A17" s="6" t="inlineStr">
        <is>
          <t>Estate &amp; Design</t>
        </is>
      </c>
      <c r="B17" s="7" t="inlineStr">
        <is>
          <t>Ground, climate pack, key typologies and footprint.</t>
        </is>
      </c>
    </row>
    <row r="18">
      <c r="A18" s="6" t="inlineStr">
        <is>
          <t>Pipeline</t>
        </is>
      </c>
      <c r="B18" s="7" t="inlineStr">
        <is>
          <t>The ten-stage vehicle lifecycle and the construction programme.</t>
        </is>
      </c>
    </row>
    <row r="19">
      <c r="A19" s="6" t="inlineStr">
        <is>
          <t>Conflicts</t>
        </is>
      </c>
      <c r="B19" s="7" t="inlineStr">
        <is>
          <t>The nine, with severity and who can settle each.</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11" customWidth="1" min="3" max="3"/>
    <col width="24" customWidth="1" min="4" max="4"/>
    <col width="12" customWidth="1" min="5" max="5"/>
    <col width="30" customWidth="1" min="6" max="6"/>
    <col width="16" customWidth="1" min="7" max="7"/>
    <col width="30" customWidth="1" min="8" max="8"/>
    <col width="7" customWidth="1" min="9" max="9"/>
    <col width="13" customWidth="1" min="10" max="10"/>
    <col width="14" customWidth="1" min="11" max="11"/>
    <col width="16" customWidth="1" min="12" max="12"/>
    <col width="11" customWidth="1" min="13" max="13"/>
    <col width="13" customWidth="1" min="14" max="14"/>
  </cols>
  <sheetData>
    <row r="1">
      <c r="A1" s="1" t="inlineStr">
        <is>
          <t>THE COLLECTION</t>
        </is>
      </c>
    </row>
    <row r="2">
      <c r="A2" s="2" t="inlineStr">
        <is>
          <t>One row per vehicle. Blue is stated in a source; black is computed here.</t>
        </is>
      </c>
    </row>
    <row r="4" ht="30" customHeight="1">
      <c r="A4" s="8" t="inlineStr">
        <is>
          <t>Key</t>
        </is>
      </c>
      <c r="B4" s="8" t="inlineStr">
        <is>
          <t>Property</t>
        </is>
      </c>
      <c r="C4" s="8" t="inlineStr">
        <is>
          <t>Asset code</t>
        </is>
      </c>
      <c r="D4" s="8" t="inlineStr">
        <is>
          <t>Registered name</t>
        </is>
      </c>
      <c r="E4" s="8" t="inlineStr">
        <is>
          <t>LLPIN</t>
        </is>
      </c>
      <c r="F4" s="8" t="inlineStr">
        <is>
          <t>Jurisdiction</t>
        </is>
      </c>
      <c r="G4" s="8" t="inlineStr">
        <is>
          <t>Estate</t>
        </is>
      </c>
      <c r="H4" s="8" t="inlineStr">
        <is>
          <t>Land area</t>
        </is>
      </c>
      <c r="I4" s="8" t="inlineStr">
        <is>
          <t>Keys</t>
        </is>
      </c>
      <c r="J4" s="8" t="inlineStr">
        <is>
          <t>Vehicle state</t>
        </is>
      </c>
      <c r="K4" s="8" t="inlineStr">
        <is>
          <t>Property state</t>
        </is>
      </c>
      <c r="L4" s="8" t="inlineStr">
        <is>
          <t>Project total (₹)</t>
        </is>
      </c>
      <c r="M4" s="8" t="inlineStr">
        <is>
          <t>Units avail.</t>
        </is>
      </c>
      <c r="N4" s="8" t="inlineStr">
        <is>
          <t>Publishable?</t>
        </is>
      </c>
    </row>
    <row r="5">
      <c r="A5" s="9" t="inlineStr">
        <is>
          <t>slowspace</t>
        </is>
      </c>
      <c r="B5" s="9" t="inlineStr">
        <is>
          <t>SlowSpace Coastal</t>
        </is>
      </c>
      <c r="C5" s="9" t="inlineStr">
        <is>
          <t>PDB-01</t>
        </is>
      </c>
      <c r="D5" s="9" t="inlineStr">
        <is>
          <t>SlowSpace Coastal LLP</t>
        </is>
      </c>
      <c r="E5" s="9" t="inlineStr">
        <is>
          <t>AAC-4471</t>
        </is>
      </c>
      <c r="F5" s="9" t="inlineStr">
        <is>
          <t>Padubidri, Karnataka</t>
        </is>
      </c>
      <c r="G5" s="9" t="inlineStr">
        <is>
          <t>Confluence</t>
        </is>
      </c>
      <c r="H5" s="9" t="inlineStr">
        <is>
          <t>.3 acres · dual frontage</t>
        </is>
      </c>
      <c r="I5" s="10" t="n">
        <v>12</v>
      </c>
      <c r="J5" s="9" t="inlineStr">
        <is>
          <t>forming</t>
        </is>
      </c>
      <c r="K5" s="9" t="inlineStr">
        <is>
          <t>development</t>
        </is>
      </c>
      <c r="L5" s="10" t="n">
        <v>95000000</v>
      </c>
      <c r="M5" s="10" t="n">
        <v>1</v>
      </c>
      <c r="N5" s="11" t="inlineStr">
        <is>
          <t>NO — C-04; C-06; C-09</t>
        </is>
      </c>
    </row>
    <row r="6">
      <c r="A6" s="9" t="inlineStr">
        <is>
          <t>solace</t>
        </is>
      </c>
      <c r="B6" s="9" t="inlineStr">
        <is>
          <t>Slowspace Solace</t>
        </is>
      </c>
      <c r="C6" s="9" t="inlineStr">
        <is>
          <t>CKB-01</t>
        </is>
      </c>
      <c r="D6" s="9" t="inlineStr">
        <is>
          <t>Solace Retreats LLP</t>
        </is>
      </c>
      <c r="E6" s="9" t="inlineStr">
        <is>
          <t>not incorporated</t>
        </is>
      </c>
      <c r="F6" s="9" t="inlineStr">
        <is>
          <t>Chikkaballapur, Karnataka</t>
        </is>
      </c>
      <c r="G6" s="9" t="inlineStr">
        <is>
          <t>Solace</t>
        </is>
      </c>
      <c r="H6" s="9" t="inlineStr">
        <is>
          <t>1.55 acres (0.20 owned + 1.35 leased)</t>
        </is>
      </c>
      <c r="I6" s="10" t="n">
        <v>6</v>
      </c>
      <c r="J6" s="9" t="inlineStr">
        <is>
          <t>forming</t>
        </is>
      </c>
      <c r="K6" s="9" t="inlineStr">
        <is>
          <t>development</t>
        </is>
      </c>
      <c r="L6" s="10" t="n">
        <v>50000000</v>
      </c>
      <c r="M6" s="10" t="n">
        <v>6</v>
      </c>
      <c r="N6" s="11" t="inlineStr">
        <is>
          <t>NO — C-03; C-05; The waterfall is not stated.; Governance thresholds are not stated.</t>
        </is>
      </c>
    </row>
    <row r="7">
      <c r="A7" s="9" t="inlineStr">
        <is>
          <t>coorgcreek</t>
        </is>
      </c>
      <c r="B7" s="9" t="inlineStr">
        <is>
          <t>Coorg Coffee Creek</t>
        </is>
      </c>
      <c r="C7" s="9" t="inlineStr">
        <is>
          <t>COG-03</t>
        </is>
      </c>
      <c r="D7" s="9" t="inlineStr">
        <is>
          <t>Coorg Coffee Creek LLP</t>
        </is>
      </c>
      <c r="E7" s="9" t="inlineStr">
        <is>
          <t>not incorporated</t>
        </is>
      </c>
      <c r="F7" s="9" t="inlineStr">
        <is>
          <t>Coorg, Karnataka</t>
        </is>
      </c>
      <c r="G7" s="9" t="inlineStr">
        <is>
          <t>The Creek</t>
        </is>
      </c>
      <c r="H7" s="9" t="inlineStr">
        <is>
          <t>10 acres (possession)</t>
        </is>
      </c>
      <c r="I7" s="10" t="n">
        <v>20</v>
      </c>
      <c r="J7" s="9" t="inlineStr">
        <is>
          <t>raising</t>
        </is>
      </c>
      <c r="K7" s="9" t="inlineStr">
        <is>
          <t>acquired</t>
        </is>
      </c>
      <c r="L7" s="10" t="n">
        <v>150000000</v>
      </c>
      <c r="M7" s="10" t="n">
        <v>4</v>
      </c>
      <c r="N7" s="12" t="inlineStr">
        <is>
          <t>YES</t>
        </is>
      </c>
    </row>
    <row r="9">
      <c r="A9" s="5" t="inlineStr">
        <is>
          <t>TOTAL</t>
        </is>
      </c>
      <c r="I9" s="13">
        <f>SUM(I5:I7)</f>
        <v/>
      </c>
      <c r="L9" s="14">
        <f>SUM(L5:L7)</f>
        <v/>
      </c>
    </row>
    <row r="11">
      <c r="A11" s="2" t="inlineStr">
        <is>
          <t>Publishable is a gate, not a preference: constants/vehicles.ts publishable() refuses a public surface to any vehicle carrying a blocking conflict. See the Conflicts tab.</t>
        </is>
      </c>
    </row>
  </sheetData>
  <mergeCells count="3">
    <mergeCell ref="A11:N11"/>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34" customWidth="1" min="1" max="1"/>
    <col width="21" customWidth="1" min="2" max="2"/>
    <col width="21" customWidth="1" min="3" max="3"/>
    <col width="21" customWidth="1" min="4" max="4"/>
    <col width="21" customWidth="1" min="5" max="5"/>
  </cols>
  <sheetData>
    <row r="1">
      <c r="A1" s="1" t="inlineStr">
        <is>
          <t>CAPITAL STACK AND OFFERING</t>
        </is>
      </c>
    </row>
    <row r="2">
      <c r="A2" s="2" t="inlineStr">
        <is>
          <t>Blue from the intake. Black computed here — the checks are live, so a changed input re-tests itself.</t>
        </is>
      </c>
    </row>
    <row r="4" ht="30" customHeight="1">
      <c r="A4" s="8" t="inlineStr"/>
      <c r="B4" s="8" t="inlineStr">
        <is>
          <t>SlowSpace Coastal</t>
        </is>
      </c>
      <c r="C4" s="8" t="inlineStr">
        <is>
          <t>Slowspace Solace</t>
        </is>
      </c>
      <c r="D4" s="8" t="inlineStr">
        <is>
          <t>Coorg Coffee Creek</t>
        </is>
      </c>
      <c r="E4" s="8" t="inlineStr">
        <is>
          <t>Note</t>
        </is>
      </c>
    </row>
    <row r="5">
      <c r="A5" s="15" t="inlineStr">
        <is>
          <t>Land (₹)</t>
        </is>
      </c>
      <c r="B5" s="16" t="n">
        <v>30000000</v>
      </c>
      <c r="C5" s="16" t="n">
        <v>10000000</v>
      </c>
      <c r="D5" s="16" t="n">
        <v>60000000</v>
      </c>
      <c r="E5" s="17" t="inlineStr"/>
    </row>
    <row r="6">
      <c r="A6" s="15" t="inlineStr">
        <is>
          <t>Formation (₹)</t>
        </is>
      </c>
      <c r="B6" s="16" t="n">
        <v>10000000</v>
      </c>
      <c r="C6" s="16" t="n">
        <v>10000000</v>
      </c>
      <c r="D6" s="16" t="n">
        <v>40000000</v>
      </c>
      <c r="E6" s="17" t="inlineStr"/>
    </row>
    <row r="7">
      <c r="A7" s="15" t="inlineStr">
        <is>
          <t>Equity layer — stack (₹)</t>
        </is>
      </c>
      <c r="B7" s="14">
        <f>SUM(B5:B6)</f>
        <v/>
      </c>
      <c r="C7" s="14">
        <f>SUM(C5:C6)</f>
        <v/>
      </c>
      <c r="D7" s="14">
        <f>SUM(D5:D6)</f>
        <v/>
      </c>
      <c r="E7" s="2" t="inlineStr">
        <is>
          <t>Land + formation. Computed, so it cannot drift from its parts.</t>
        </is>
      </c>
    </row>
    <row r="8">
      <c r="A8" s="15" t="inlineStr">
        <is>
          <t>Equity layer — as stated (₹)</t>
        </is>
      </c>
      <c r="B8" s="16" t="n">
        <v>40000000</v>
      </c>
      <c r="C8" s="16" t="n">
        <v>20000000</v>
      </c>
      <c r="D8" s="16" t="n">
        <v>100000000</v>
      </c>
      <c r="E8" s="17" t="inlineStr">
        <is>
          <t>Sheet 3 of the intake.</t>
        </is>
      </c>
    </row>
    <row r="9">
      <c r="A9" s="15" t="inlineStr">
        <is>
          <t>Equity — offering sheet (₹)</t>
        </is>
      </c>
      <c r="B9" s="16" t="n">
        <v>40000000</v>
      </c>
      <c r="C9" s="16" t="n">
        <v>25000000</v>
      </c>
      <c r="D9" s="16" t="n">
        <v>100000000</v>
      </c>
      <c r="E9" s="17" t="inlineStr">
        <is>
          <t>Sheet 4. Differs from sheet 3 for Solace — conflict C-03.</t>
        </is>
      </c>
    </row>
    <row r="10">
      <c r="A10" s="15" t="inlineStr">
        <is>
          <t>Sheets agree?</t>
        </is>
      </c>
      <c r="B10" s="18">
        <f>IF(B8=B9,"agrees","DISAGREES by "&amp;TEXT(ABS(B9-B8),"₹#,##0"))</f>
        <v/>
      </c>
      <c r="C10" s="18">
        <f>IF(C8=C9,"agrees","DISAGREES by "&amp;TEXT(ABS(C9-C8),"₹#,##0"))</f>
        <v/>
      </c>
      <c r="D10" s="18">
        <f>IF(D8=D9,"agrees","DISAGREES by "&amp;TEXT(ABS(D9-D8),"₹#,##0"))</f>
        <v/>
      </c>
      <c r="E10" s="2" t="inlineStr">
        <is>
          <t>Live check. Solace fails it by ₹50 lakh.</t>
        </is>
      </c>
    </row>
    <row r="12">
      <c r="A12" s="15" t="inlineStr">
        <is>
          <t>Facility / debt (₹)</t>
        </is>
      </c>
      <c r="B12" s="16" t="n">
        <v>55000000</v>
      </c>
      <c r="C12" s="16" t="n">
        <v>30000000</v>
      </c>
      <c r="D12" s="16" t="n">
        <v>50000000</v>
      </c>
      <c r="E12" s="17" t="inlineStr"/>
    </row>
    <row r="13">
      <c r="A13" s="15" t="inlineStr">
        <is>
          <t>Project total (₹)</t>
        </is>
      </c>
      <c r="B13" s="16" t="n">
        <v>95000000</v>
      </c>
      <c r="C13" s="16" t="n">
        <v>50000000</v>
      </c>
      <c r="D13" s="16" t="n">
        <v>150000000</v>
      </c>
      <c r="E13" s="17" t="inlineStr"/>
    </row>
    <row r="15">
      <c r="A15" s="19" t="inlineStr">
        <is>
          <t>THE OFFERING</t>
        </is>
      </c>
    </row>
    <row r="16">
      <c r="A16" s="15" t="inlineStr">
        <is>
          <t>Promoter / sponsor (₹)</t>
        </is>
      </c>
      <c r="B16" s="16" t="n">
        <v>16000000</v>
      </c>
      <c r="C16" s="16" t="n">
        <v>10000000</v>
      </c>
      <c r="D16" s="16" t="n">
        <v>60000000</v>
      </c>
      <c r="E16" s="17" t="inlineStr">
        <is>
          <t>The sponsor's own money. The modelled canon has no concept of this — conflict C-06.</t>
        </is>
      </c>
    </row>
    <row r="17">
      <c r="A17" s="15" t="inlineStr">
        <is>
          <t>Offered to partners (₹)</t>
        </is>
      </c>
      <c r="B17" s="16" t="n">
        <v>24000000</v>
      </c>
      <c r="C17" s="16" t="n">
        <v>15000000</v>
      </c>
      <c r="D17" s="16" t="n">
        <v>40000000</v>
      </c>
      <c r="E17" s="17" t="inlineStr"/>
    </row>
    <row r="18">
      <c r="A18" s="15" t="inlineStr">
        <is>
          <t>Promoter share of equity</t>
        </is>
      </c>
      <c r="B18" s="20">
        <f>IF(B9=0,"",B16/B9)</f>
        <v/>
      </c>
      <c r="C18" s="20">
        <f>IF(C9=0,"",C16/C9)</f>
        <v/>
      </c>
      <c r="D18" s="20">
        <f>IF(D9=0,"",D16/D9)</f>
        <v/>
      </c>
      <c r="E18" s="2" t="inlineStr">
        <is>
          <t>Guarded denominator.</t>
        </is>
      </c>
    </row>
    <row r="19">
      <c r="A19" s="15" t="inlineStr">
        <is>
          <t>Units in the offering</t>
        </is>
      </c>
      <c r="B19" s="21" t="n">
        <v>6</v>
      </c>
      <c r="C19" s="21" t="n">
        <v>6</v>
      </c>
      <c r="D19" s="21" t="n">
        <v>4</v>
      </c>
      <c r="E19" s="17" t="inlineStr"/>
    </row>
    <row r="20">
      <c r="A20" s="15" t="inlineStr">
        <is>
          <t>Unit price (₹)</t>
        </is>
      </c>
      <c r="B20" s="16" t="n">
        <v>4000000</v>
      </c>
      <c r="C20" s="16" t="n">
        <v>2500000</v>
      </c>
      <c r="D20" s="16" t="n">
        <v>10000000</v>
      </c>
      <c r="E20" s="17" t="inlineStr"/>
    </row>
    <row r="21">
      <c r="A21" s="15" t="inlineStr">
        <is>
          <t>Units × price = offered?</t>
        </is>
      </c>
      <c r="B21" s="18">
        <f>IF(B19*B20=B17,"balances","OUT BY "&amp;TEXT(B19*B20-B17,"₹#,##0"))</f>
        <v/>
      </c>
      <c r="C21" s="18">
        <f>IF(C19*C20=C17,"balances","OUT BY "&amp;TEXT(C19*C20-C17,"₹#,##0"))</f>
        <v/>
      </c>
      <c r="D21" s="18">
        <f>IF(D19*D20=D17,"balances","OUT BY "&amp;TEXT(D19*D20-D17,"₹#,##0"))</f>
        <v/>
      </c>
    </row>
    <row r="22">
      <c r="A22" s="15" t="inlineStr">
        <is>
          <t>Units subscribed</t>
        </is>
      </c>
      <c r="B22" s="21" t="n">
        <v>5</v>
      </c>
      <c r="C22" s="21" t="n">
        <v>0</v>
      </c>
      <c r="D22" s="21" t="n">
        <v>0</v>
      </c>
      <c r="E22" s="17" t="inlineStr"/>
    </row>
    <row r="23">
      <c r="A23" s="15" t="inlineStr">
        <is>
          <t>Units available</t>
        </is>
      </c>
      <c r="B23" s="21" t="n">
        <v>1</v>
      </c>
      <c r="C23" s="21" t="n">
        <v>6</v>
      </c>
      <c r="D23" s="21" t="n">
        <v>4</v>
      </c>
      <c r="E23" s="17" t="inlineStr"/>
    </row>
    <row r="24">
      <c r="A24" s="15" t="inlineStr">
        <is>
          <t>Deposit (₹)</t>
        </is>
      </c>
      <c r="B24" s="16" t="n">
        <v>50000</v>
      </c>
      <c r="C24" s="16" t="n">
        <v>50000</v>
      </c>
      <c r="D24" s="16" t="n">
        <v>50000</v>
      </c>
      <c r="E24" s="17" t="inlineStr"/>
    </row>
    <row r="26">
      <c r="A26" s="15" t="inlineStr">
        <is>
          <t>Raised so far (₹)</t>
        </is>
      </c>
      <c r="B26" s="14">
        <f>B22*B20</f>
        <v/>
      </c>
      <c r="C26" s="14">
        <f>C22*C20</f>
        <v/>
      </c>
      <c r="D26" s="14">
        <f>D22*D20</f>
        <v/>
      </c>
    </row>
    <row r="27">
      <c r="A27" s="15" t="inlineStr">
        <is>
          <t>Still to raise (₹)</t>
        </is>
      </c>
      <c r="B27" s="14">
        <f>B17-B22*B20</f>
        <v/>
      </c>
      <c r="C27" s="14">
        <f>C17-C22*C20</f>
        <v/>
      </c>
      <c r="D27" s="14">
        <f>D17-D22*D20</f>
        <v/>
      </c>
    </row>
    <row r="29">
      <c r="A29" s="5" t="inlineStr">
        <is>
          <t>Covenant</t>
        </is>
      </c>
      <c r="B29" s="2" t="inlineStr">
        <is>
          <t>DSCR 1.50x minimum</t>
        </is>
      </c>
      <c r="C29" s="2" t="inlineStr">
        <is>
          <t>DSCR 1.50x minimum</t>
        </is>
      </c>
      <c r="D29" s="2" t="inlineStr">
        <is>
          <t>DSCR 1.50x minimum</t>
        </is>
      </c>
    </row>
    <row r="30">
      <c r="A30" s="5" t="inlineStr">
        <is>
          <t>Lock-in</t>
        </is>
      </c>
      <c r="B30" s="2" t="inlineStr">
        <is>
          <t>36 months from financial close</t>
        </is>
      </c>
      <c r="C30" s="2" t="inlineStr">
        <is>
          <t>36 months from financial close</t>
        </is>
      </c>
      <c r="D30" s="2" t="inlineStr">
        <is>
          <t>36 months from financial close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30" customWidth="1" min="1" max="1"/>
    <col width="21" customWidth="1" min="2" max="2"/>
    <col width="21" customWidth="1" min="3" max="3"/>
    <col width="21" customWidth="1" min="4" max="4"/>
    <col width="21" customWidth="1" min="5" max="5"/>
  </cols>
  <sheetData>
    <row r="1">
      <c r="A1" s="1" t="inlineStr">
        <is>
          <t>THE SIX-STAGE WATERFALL</t>
        </is>
      </c>
    </row>
    <row r="2">
      <c r="A2" s="2" t="inlineStr">
        <is>
          <t>Basis points of gross revenue, in the order they are paid. Debt service is its own stage — folded inside the partner share it would show a number a quarter of gross never reaches.</t>
        </is>
      </c>
    </row>
    <row r="4" ht="30" customHeight="1">
      <c r="A4" s="8" t="inlineStr"/>
      <c r="B4" s="8" t="inlineStr">
        <is>
          <t>SlowSpace Coastal</t>
        </is>
      </c>
      <c r="C4" s="8" t="inlineStr">
        <is>
          <t>Slowspace Solace</t>
        </is>
      </c>
      <c r="D4" s="8" t="inlineStr">
        <is>
          <t>Coorg Coffee Creek</t>
        </is>
      </c>
      <c r="E4" s="8" t="inlineStr">
        <is>
          <t>Note</t>
        </is>
      </c>
    </row>
    <row r="5">
      <c r="A5" s="15" t="inlineStr">
        <is>
          <t>Gross revenue (₹)</t>
        </is>
      </c>
      <c r="B5" s="16" t="n">
        <v>32850000</v>
      </c>
      <c r="C5" s="16" t="n">
        <v>13140000</v>
      </c>
      <c r="D5" s="16" t="n">
        <v>48180000</v>
      </c>
    </row>
    <row r="6">
      <c r="A6" s="5" t="inlineStr">
        <is>
          <t>ADR (₹) · occupancy</t>
        </is>
      </c>
      <c r="B6" s="22" t="inlineStr">
        <is>
          <t>₹15,000 · 50%</t>
        </is>
      </c>
      <c r="C6" s="22" t="inlineStr">
        <is>
          <t>₹12,000 · 50%</t>
        </is>
      </c>
      <c r="D6" s="22" t="inlineStr">
        <is>
          <t>₹12,000 · 55%</t>
        </is>
      </c>
    </row>
    <row r="8">
      <c r="A8" s="15" t="inlineStr">
        <is>
          <t>1 Operator (bps)</t>
        </is>
      </c>
      <c r="B8" s="21" t="n">
        <v>3500</v>
      </c>
      <c r="C8" s="23" t="n"/>
      <c r="D8" s="21" t="n">
        <v>3500</v>
      </c>
    </row>
    <row r="9">
      <c r="A9" s="15" t="inlineStr">
        <is>
          <t>2 Brand (bps)</t>
        </is>
      </c>
      <c r="B9" s="21" t="n">
        <v>1500</v>
      </c>
      <c r="C9" s="23" t="n"/>
      <c r="D9" s="21" t="n">
        <v>1500</v>
      </c>
    </row>
    <row r="10">
      <c r="A10" s="15" t="inlineStr">
        <is>
          <t>3 Admin reserve (bps)</t>
        </is>
      </c>
      <c r="B10" s="21" t="n">
        <v>250</v>
      </c>
      <c r="C10" s="23" t="n"/>
      <c r="D10" s="21" t="n">
        <v>250</v>
      </c>
    </row>
    <row r="11">
      <c r="A11" s="15" t="inlineStr">
        <is>
          <t>4 Sinking fund (bps)</t>
        </is>
      </c>
      <c r="B11" s="21" t="n">
        <v>250</v>
      </c>
      <c r="C11" s="23" t="n"/>
      <c r="D11" s="21" t="n">
        <v>250</v>
      </c>
    </row>
    <row r="12">
      <c r="A12" s="15" t="inlineStr">
        <is>
          <t>5 Debt service (bps)</t>
        </is>
      </c>
      <c r="B12" s="21" t="n">
        <v>2308</v>
      </c>
      <c r="C12" s="23" t="n"/>
      <c r="D12" s="21" t="n">
        <v>1500</v>
      </c>
    </row>
    <row r="13">
      <c r="A13" s="15" t="inlineStr">
        <is>
          <t>6 To partners (bps)</t>
        </is>
      </c>
      <c r="B13" s="21" t="n">
        <v>2192</v>
      </c>
      <c r="C13" s="23" t="n"/>
      <c r="D13" s="21" t="n">
        <v>3000</v>
      </c>
    </row>
    <row r="14">
      <c r="A14" s="15" t="inlineStr">
        <is>
          <t>Sums to 10,000?</t>
        </is>
      </c>
      <c r="B14" s="18">
        <f>IF(COUNT(B8:B13)&lt;6,"NOT STATED",IF(SUM(B8:B13)=10000,"closes at 100%","OUT BY "&amp;SUM(B8:B13)-10000&amp;" bps"))</f>
        <v/>
      </c>
      <c r="C14" s="18">
        <f>IF(COUNT(C8:C13)&lt;6,"NOT STATED",IF(SUM(C8:C13)=10000,"closes at 100%","OUT BY "&amp;SUM(C8:C13)-10000&amp;" bps"))</f>
        <v/>
      </c>
      <c r="D14" s="18">
        <f>IF(COUNT(D8:D13)&lt;6,"NOT STATED",IF(SUM(D8:D13)=10000,"closes at 100%","OUT BY "&amp;SUM(D8:D13)-10000&amp;" bps"))</f>
        <v/>
      </c>
      <c r="E14" s="2" t="inlineStr">
        <is>
          <t>Solace states no waterfall. Its intake row would read as 100% of gross to partners with no operator, reserve or debt service — a blank row, not a split. Conflict C-05.</t>
        </is>
      </c>
    </row>
    <row r="16">
      <c r="A16" s="15" t="inlineStr">
        <is>
          <t>To partners (₹)</t>
        </is>
      </c>
      <c r="B16" s="14">
        <f>IF(B13="","",B5*B13/10000)</f>
        <v/>
      </c>
      <c r="C16" s="14">
        <f>IF(C13="","",C5*C13/10000)</f>
        <v/>
      </c>
      <c r="D16" s="14">
        <f>IF(D13="","",D5*D13/10000)</f>
        <v/>
      </c>
    </row>
    <row r="17">
      <c r="A17" s="15" t="inlineStr">
        <is>
          <t>Forecast yield on equity</t>
        </is>
      </c>
      <c r="B17" s="24">
        <f>IF(OR(B16="",Capital!B9=0),"",B16/Capital!B9)</f>
        <v/>
      </c>
      <c r="C17" s="24">
        <f>IF(OR(C16="",Capital!C9=0),"",C16/Capital!C9)</f>
        <v/>
      </c>
      <c r="D17" s="24">
        <f>IF(OR(D16="",Capital!D9=0),"",D16/Capital!D9)</f>
        <v/>
      </c>
      <c r="E17" s="2" t="inlineStr">
        <is>
          <t>Against the offering sheet's equity. A forecast from a model on an asset that does not exist — not an observation, and not a promise.</t>
        </is>
      </c>
    </row>
    <row r="19">
      <c r="A19" s="15" t="inlineStr">
        <is>
          <t>Reserve floor (₹)</t>
        </is>
      </c>
      <c r="B19" s="16" t="n">
        <v>3960000</v>
      </c>
      <c r="C19" s="25" t="n"/>
      <c r="D19" s="16" t="n">
        <v>8700000</v>
      </c>
      <c r="E19" s="2" t="inlineStr">
        <is>
          <t>Stage 6 does not run at all if paying it would take the reserve below this.</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s>
  <sheetData>
    <row r="1">
      <c r="A1" s="1" t="inlineStr">
        <is>
          <t>ENTITLEMENT AND GOVERNANCE</t>
        </is>
      </c>
    </row>
    <row r="2">
      <c r="A2" s="2" t="inlineStr">
        <is>
          <t>Time is an incident of a capital position, not a hospitality product. Voting is contribution-weighted, and a tie is not approval.</t>
        </is>
      </c>
    </row>
    <row r="4" ht="30" customHeight="1">
      <c r="A4" s="8" t="inlineStr"/>
      <c r="B4" s="8" t="inlineStr">
        <is>
          <t>SlowSpace Coastal</t>
        </is>
      </c>
      <c r="C4" s="8" t="inlineStr">
        <is>
          <t>Slowspace Solace</t>
        </is>
      </c>
      <c r="D4" s="8" t="inlineStr">
        <is>
          <t>Coorg Coffee Creek</t>
        </is>
      </c>
      <c r="E4" s="8" t="inlineStr">
        <is>
          <t>Note</t>
        </is>
      </c>
    </row>
    <row r="5">
      <c r="A5" s="15" t="inlineStr">
        <is>
          <t>Night pool — minimum</t>
        </is>
      </c>
      <c r="B5" s="26" t="n">
        <v>180</v>
      </c>
      <c r="C5" s="27" t="n"/>
      <c r="D5" s="26" t="n">
        <v>300</v>
      </c>
      <c r="E5" s="17" t="inlineStr"/>
    </row>
    <row r="6">
      <c r="A6" s="15" t="inlineStr">
        <is>
          <t>Night pool — maximum</t>
        </is>
      </c>
      <c r="B6" s="26" t="n">
        <v>210</v>
      </c>
      <c r="C6" s="27" t="n"/>
      <c r="D6" s="26" t="n">
        <v>350</v>
      </c>
      <c r="E6" s="17" t="inlineStr"/>
    </row>
    <row r="7">
      <c r="A7" s="15" t="inlineStr">
        <is>
          <t>Entitlement begins</t>
        </is>
      </c>
      <c r="B7" s="9" t="inlineStr">
        <is>
          <t>Handover, Jan 2028</t>
        </is>
      </c>
      <c r="C7" s="27" t="n"/>
      <c r="D7" s="9" t="inlineStr">
        <is>
          <t>Pending programme lock — construction has not started</t>
        </is>
      </c>
      <c r="E7" s="17" t="inlineStr">
        <is>
          <t>SlowSpace says Jan 2028; the construction programme ends Aug 2027 — conflict C-09.</t>
        </is>
      </c>
    </row>
    <row r="9">
      <c r="A9" s="15" t="inlineStr">
        <is>
          <t>Ordinary resolution (bps)</t>
        </is>
      </c>
      <c r="B9" s="26" t="n">
        <v>5001</v>
      </c>
      <c r="C9" s="27" t="n"/>
      <c r="D9" s="26" t="n">
        <v>5001</v>
      </c>
      <c r="E9" s="17" t="inlineStr">
        <is>
          <t>5001, not 5000. A tie is not approval.</t>
        </is>
      </c>
    </row>
    <row r="10">
      <c r="A10" s="15" t="inlineStr">
        <is>
          <t>Special resolution (bps)</t>
        </is>
      </c>
      <c r="B10" s="26" t="n">
        <v>7600</v>
      </c>
      <c r="C10" s="27" t="n"/>
      <c r="D10" s="26" t="n">
        <v>7600</v>
      </c>
      <c r="E10" s="17" t="inlineStr"/>
    </row>
    <row r="11">
      <c r="A11" s="15" t="inlineStr">
        <is>
          <t>Quorum (bps)</t>
        </is>
      </c>
      <c r="B11" s="26" t="n">
        <v>6000</v>
      </c>
      <c r="C11" s="27" t="n"/>
      <c r="D11" s="26" t="n">
        <v>6000</v>
      </c>
      <c r="E11" s="17" t="inlineStr"/>
    </row>
    <row r="12">
      <c r="A12" s="15" t="inlineStr">
        <is>
          <t>Reserved matters</t>
        </is>
      </c>
      <c r="B12" s="9" t="inlineStr">
        <is>
          <t>Disposing of the land, or borrowing beyond ₹6.0 Cr</t>
        </is>
      </c>
      <c r="C12" s="27" t="n"/>
      <c r="D12" s="9" t="inlineStr">
        <is>
          <t>Disposing of the land, or borrowing beyond ₹6.0 Cr</t>
        </is>
      </c>
      <c r="E12" s="17" t="inlineStr"/>
    </row>
    <row r="13">
      <c r="A13" s="15" t="inlineStr">
        <is>
          <t>Transfer rule</t>
        </is>
      </c>
      <c r="B13" s="9" t="inlineStr">
        <is>
          <t>Internal register first; external buyer needs consent</t>
        </is>
      </c>
      <c r="C13" s="27" t="n"/>
      <c r="D13" s="9" t="inlineStr">
        <is>
          <t>Internal register first; external buyer needs consent</t>
        </is>
      </c>
      <c r="E13" s="17" t="inlineStr"/>
    </row>
    <row r="14">
      <c r="A14" s="15" t="inlineStr">
        <is>
          <t>Designated partners</t>
        </is>
      </c>
      <c r="B14" s="9" t="inlineStr">
        <is>
          <t>Getaway Collective (GP)</t>
        </is>
      </c>
      <c r="C14" s="27" t="n"/>
      <c r="D14" s="9" t="inlineStr">
        <is>
          <t>Getaway Collective (GP)</t>
        </is>
      </c>
      <c r="E14" s="17" t="inlineStr"/>
    </row>
    <row r="16">
      <c r="A16" s="15" t="inlineStr">
        <is>
          <t>Minimum investment (bps)</t>
        </is>
      </c>
      <c r="B16" s="26" t="n">
        <v>1000</v>
      </c>
      <c r="C16" s="26" t="n">
        <v>1000</v>
      </c>
      <c r="D16" s="26" t="n">
        <v>1000</v>
      </c>
      <c r="E16" s="17" t="inlineStr"/>
    </row>
    <row r="17">
      <c r="A17" s="15" t="inlineStr">
        <is>
          <t>Minimum unit / step (bps)</t>
        </is>
      </c>
      <c r="B17" s="26" t="n">
        <v>500</v>
      </c>
      <c r="C17" s="26" t="n">
        <v>500</v>
      </c>
      <c r="D17" s="26" t="n">
        <v>500</v>
      </c>
      <c r="E17" s="17" t="inlineStr"/>
    </row>
    <row r="18">
      <c r="A18" s="15" t="inlineStr">
        <is>
          <t>Ceiling (bps)</t>
        </is>
      </c>
      <c r="B18" s="26" t="n">
        <v>5000</v>
      </c>
      <c r="C18" s="26" t="n">
        <v>5000</v>
      </c>
      <c r="D18" s="26" t="n">
        <v>6000</v>
      </c>
      <c r="E18" s="17" t="inlineStr">
        <is>
          <t>A governance limit, not a commercial one — above 50% one partner carries every ordinary resolution alone.</t>
        </is>
      </c>
    </row>
    <row r="20">
      <c r="A20" s="2" t="inlineStr">
        <is>
          <t>Amber cells: the intake states nothing. Solace has no entitlement and no governance row at all.</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18" customWidth="1" min="3" max="3"/>
    <col width="22" customWidth="1" min="4" max="4"/>
    <col width="10" customWidth="1" min="5" max="5"/>
    <col width="12" customWidth="1" min="6" max="6"/>
    <col width="13" customWidth="1" min="7" max="7"/>
    <col width="7" customWidth="1" min="8" max="8"/>
    <col width="13" customWidth="1" min="9" max="9"/>
    <col width="14" customWidth="1" min="10" max="10"/>
    <col width="40" customWidth="1" min="11" max="11"/>
  </cols>
  <sheetData>
    <row r="1">
      <c r="A1" s="1" t="inlineStr">
        <is>
          <t>THE GROUND, AND WHAT IS BUILT ON IT</t>
        </is>
      </c>
    </row>
    <row r="2">
      <c r="A2" s="2" t="inlineStr">
        <is>
          <t>From the spatial ledger. Five estates, one building system, differing only by climate pack.</t>
        </is>
      </c>
    </row>
    <row r="4" ht="30" customHeight="1">
      <c r="A4" s="8" t="inlineStr">
        <is>
          <t>Estate</t>
        </is>
      </c>
      <c r="B4" s="8" t="inlineStr">
        <is>
          <t>Brand</t>
        </is>
      </c>
      <c r="C4" s="8" t="inlineStr">
        <is>
          <t>Region</t>
        </is>
      </c>
      <c r="D4" s="8" t="inlineStr">
        <is>
          <t>Climate pack</t>
        </is>
      </c>
      <c r="E4" s="8" t="inlineStr">
        <is>
          <t>Site (ac)</t>
        </is>
      </c>
      <c r="F4" s="8" t="inlineStr">
        <is>
          <t>Buildable zone (ac)</t>
        </is>
      </c>
      <c r="G4" s="8" t="inlineStr">
        <is>
          <t>Landscape held</t>
        </is>
      </c>
      <c r="H4" s="8" t="inlineStr">
        <is>
          <t>Keys</t>
        </is>
      </c>
      <c r="I4" s="8" t="inlineStr">
        <is>
          <t>Status</t>
        </is>
      </c>
      <c r="J4" s="8" t="inlineStr">
        <is>
          <t>Vehicle</t>
        </is>
      </c>
      <c r="K4" s="8" t="inlineStr">
        <is>
          <t>Character</t>
        </is>
      </c>
    </row>
    <row r="5">
      <c r="A5" s="28" t="inlineStr">
        <is>
          <t>Solace</t>
        </is>
      </c>
      <c r="B5" s="9" t="inlineStr">
        <is>
          <t>SlowSpace</t>
        </is>
      </c>
      <c r="C5" s="9" t="inlineStr">
        <is>
          <t>Chikkaballapur</t>
        </is>
      </c>
      <c r="D5" s="9" t="inlineStr">
        <is>
          <t>PACK_ARID_HILL</t>
        </is>
      </c>
      <c r="E5" s="9" t="n">
        <v>0.6</v>
      </c>
      <c r="F5" s="9" t="n">
        <v>0.2</v>
      </c>
      <c r="G5" s="9" t="inlineStr">
        <is>
          <t>≥65%</t>
        </is>
      </c>
      <c r="H5" s="28" t="n">
        <v>6</v>
      </c>
      <c r="I5" s="9" t="inlineStr">
        <is>
          <t>confirmed</t>
        </is>
      </c>
      <c r="J5" s="9" t="inlineStr">
        <is>
          <t>solace</t>
        </is>
      </c>
      <c r="K5" s="9" t="inlineStr">
        <is>
          <t>Minimalism, silence and expansive horizons</t>
        </is>
      </c>
    </row>
    <row r="6">
      <c r="A6" s="9" t="inlineStr">
        <is>
          <t>Coffee Fields Forever</t>
        </is>
      </c>
      <c r="B6" s="9" t="inlineStr">
        <is>
          <t>ESKAPE</t>
        </is>
      </c>
      <c r="C6" s="9" t="inlineStr">
        <is>
          <t>Coorg</t>
        </is>
      </c>
      <c r="D6" s="9" t="inlineStr">
        <is>
          <t>PACK_DENSE_FOREST</t>
        </is>
      </c>
      <c r="E6" s="9" t="n">
        <v>3</v>
      </c>
      <c r="F6" s="9" t="n">
        <v>2</v>
      </c>
      <c r="G6" s="9" t="inlineStr">
        <is>
          <t>≥65%</t>
        </is>
      </c>
      <c r="H6" s="9" t="n">
        <v>20</v>
      </c>
      <c r="I6" s="9" t="inlineStr">
        <is>
          <t>confirmed</t>
        </is>
      </c>
      <c r="J6" s="9" t="inlineStr">
        <is>
          <t>—</t>
        </is>
      </c>
      <c r="K6" s="9" t="inlineStr">
        <is>
          <t>Immersion within a living plantation ecosystem</t>
        </is>
      </c>
    </row>
    <row r="7">
      <c r="A7" s="9" t="inlineStr">
        <is>
          <t>Confluence</t>
        </is>
      </c>
      <c r="B7" s="9" t="inlineStr">
        <is>
          <t>SlowSpace</t>
        </is>
      </c>
      <c r="C7" s="9" t="inlineStr">
        <is>
          <t>Mangaluru–Udupi</t>
        </is>
      </c>
      <c r="D7" s="9" t="inlineStr">
        <is>
          <t>PACK_COASTAL_ESTUARY</t>
        </is>
      </c>
      <c r="E7" s="9" t="n">
        <v>4.4</v>
      </c>
      <c r="F7" s="9" t="n">
        <v>2.3</v>
      </c>
      <c r="G7" s="9" t="inlineStr">
        <is>
          <t>≥65%</t>
        </is>
      </c>
      <c r="H7" s="9" t="n">
        <v>12</v>
      </c>
      <c r="I7" s="9" t="inlineStr">
        <is>
          <t>in-progress</t>
        </is>
      </c>
      <c r="J7" s="9" t="inlineStr">
        <is>
          <t>slowspace</t>
        </is>
      </c>
      <c r="K7" s="9" t="inlineStr">
        <is>
          <t>Water, breeze and tidal rhythm</t>
        </is>
      </c>
    </row>
    <row r="8">
      <c r="A8" s="9" t="inlineStr">
        <is>
          <t>The Creek</t>
        </is>
      </c>
      <c r="B8" s="9" t="inlineStr">
        <is>
          <t>ESKAPE</t>
        </is>
      </c>
      <c r="C8" s="9" t="inlineStr">
        <is>
          <t>Coorg</t>
        </is>
      </c>
      <c r="D8" s="9" t="inlineStr">
        <is>
          <t>PACK_RIPARIAN_FOREST</t>
        </is>
      </c>
      <c r="E8" s="9" t="n">
        <v>10</v>
      </c>
      <c r="F8" s="9" t="n">
        <v>5</v>
      </c>
      <c r="G8" s="9" t="inlineStr">
        <is>
          <t>≥65%</t>
        </is>
      </c>
      <c r="H8" s="9" t="n">
        <v>20</v>
      </c>
      <c r="I8" s="9" t="inlineStr">
        <is>
          <t>in-progress</t>
        </is>
      </c>
      <c r="J8" s="9" t="inlineStr">
        <is>
          <t>coorgcreek</t>
        </is>
      </c>
      <c r="K8" s="9" t="inlineStr">
        <is>
          <t>Flow, wilderness and secluded luxury</t>
        </is>
      </c>
    </row>
    <row r="9">
      <c r="A9" s="9" t="inlineStr">
        <is>
          <t>Nine Hills</t>
        </is>
      </c>
      <c r="B9" s="9" t="inlineStr">
        <is>
          <t>SlowSpace</t>
        </is>
      </c>
      <c r="C9" s="9" t="inlineStr">
        <is>
          <t>Chikmagalur</t>
        </is>
      </c>
      <c r="D9" s="9" t="inlineStr">
        <is>
          <t>PACK_MOUNTAIN_RIDGE</t>
        </is>
      </c>
      <c r="E9" s="9" t="n">
        <v>5</v>
      </c>
      <c r="F9" s="9" t="n">
        <v>2</v>
      </c>
      <c r="G9" s="9" t="inlineStr">
        <is>
          <t>≥65%</t>
        </is>
      </c>
      <c r="H9" s="9" t="n">
        <v>16</v>
      </c>
      <c r="I9" s="9" t="inlineStr">
        <is>
          <t>in-progress</t>
        </is>
      </c>
      <c r="J9" s="9" t="inlineStr">
        <is>
          <t>—</t>
        </is>
      </c>
      <c r="K9" s="9" t="inlineStr">
        <is>
          <t>Elevation, contemplation and panoramic views</t>
        </is>
      </c>
    </row>
    <row r="11">
      <c r="A11" s="5" t="inlineStr">
        <is>
          <t>TOTAL KEYS</t>
        </is>
      </c>
      <c r="H11" s="13">
        <f>SUM(H5:H9)</f>
        <v/>
      </c>
    </row>
    <row r="13">
      <c r="A13" s="5" t="inlineStr">
        <is>
          <t>WHERE AN ESTATE BREAKS THE PLATFORM'S OWN STANDARD</t>
        </is>
      </c>
    </row>
    <row r="14">
      <c r="A14" s="29" t="inlineStr">
        <is>
          <t>Solace</t>
        </is>
      </c>
      <c r="B14" s="7" t="inlineStr">
        <is>
          <t>Earth is 565 sqft against a maximum standard key size of 550.</t>
        </is>
      </c>
    </row>
    <row r="15">
      <c r="A15" s="29" t="inlineStr">
        <is>
          <t>Solace</t>
        </is>
      </c>
      <c r="B15" s="7" t="inlineStr">
        <is>
          <t>Sky Canopies is 565 sqft against a maximum standard key size of 550.</t>
        </is>
      </c>
    </row>
    <row r="16">
      <c r="A16" s="29" t="inlineStr">
        <is>
          <t>Solace</t>
        </is>
      </c>
      <c r="B16" s="7" t="inlineStr">
        <is>
          <t>Gabled Twin Pods is 565 sqft against a maximum standard key size of 550.</t>
        </is>
      </c>
    </row>
    <row r="18" ht="30" customHeight="1">
      <c r="A18" s="2" t="inlineStr">
        <is>
          <t>Landscape preservation is carried exactly as the ledger states it. It is not recomputed here: the estates build over several levels, so site minus buildable zone is not the landscape figure, and verifying it needs a survey rather than a division.</t>
        </is>
      </c>
    </row>
    <row r="20">
      <c r="A20" s="5" t="inlineStr">
        <is>
          <t>KEY TYPOLOGIES</t>
        </is>
      </c>
    </row>
    <row r="21" ht="30" customHeight="1">
      <c r="A21" s="8" t="inlineStr">
        <is>
          <t>Estate</t>
        </is>
      </c>
      <c r="B21" s="8" t="inlineStr">
        <is>
          <t>Typology</t>
        </is>
      </c>
      <c r="C21" s="8" t="inlineStr">
        <is>
          <t>Count</t>
        </is>
      </c>
      <c r="D21" s="8" t="inlineStr">
        <is>
          <t>Sqft each</t>
        </is>
      </c>
      <c r="E21" s="8" t="inlineStr"/>
      <c r="F21" s="8" t="inlineStr"/>
      <c r="G21" s="8" t="inlineStr"/>
      <c r="H21" s="8" t="inlineStr"/>
      <c r="I21" s="8" t="inlineStr"/>
      <c r="J21" s="8" t="inlineStr"/>
      <c r="K21" s="8" t="inlineStr">
        <is>
          <t>Note</t>
        </is>
      </c>
    </row>
    <row r="22">
      <c r="A22" s="9" t="inlineStr">
        <is>
          <t>Solace</t>
        </is>
      </c>
      <c r="B22" s="9" t="inlineStr">
        <is>
          <t>Earth</t>
        </is>
      </c>
      <c r="C22" s="26" t="n">
        <v>2</v>
      </c>
      <c r="D22" s="30" t="n">
        <v>565</v>
      </c>
      <c r="E22" s="9" t="n"/>
      <c r="F22" s="9" t="n"/>
      <c r="G22" s="9" t="n"/>
      <c r="H22" s="9" t="n"/>
      <c r="I22" s="9" t="n"/>
      <c r="J22" s="9" t="n"/>
      <c r="K22" s="9" t="inlineStr">
        <is>
          <t>Grounded, inward-looking courtyard suites. Heavy, shaded, cell-like enclosures.</t>
        </is>
      </c>
    </row>
    <row r="23">
      <c r="A23" s="9" t="inlineStr">
        <is>
          <t>Solace</t>
        </is>
      </c>
      <c r="B23" s="9" t="inlineStr">
        <is>
          <t>Sky Canopies</t>
        </is>
      </c>
      <c r="C23" s="26" t="n">
        <v>2</v>
      </c>
      <c r="D23" s="30" t="n">
        <v>565</v>
      </c>
      <c r="E23" s="9" t="n"/>
      <c r="F23" s="9" t="n"/>
      <c r="G23" s="9" t="n"/>
      <c r="H23" s="9" t="n"/>
      <c r="I23" s="9" t="n"/>
      <c r="J23" s="9" t="n"/>
      <c r="K23" s="9" t="inlineStr">
        <is>
          <t>Cantilevered floor plates and a horizon visor canopy that blocks peering from above.</t>
        </is>
      </c>
    </row>
    <row r="24">
      <c r="A24" s="9" t="inlineStr">
        <is>
          <t>Solace</t>
        </is>
      </c>
      <c r="B24" s="9" t="inlineStr">
        <is>
          <t>Gabled Twin Pods</t>
        </is>
      </c>
      <c r="C24" s="26" t="n">
        <v>2</v>
      </c>
      <c r="D24" s="30" t="n">
        <v>565</v>
      </c>
      <c r="E24" s="9" t="n"/>
      <c r="F24" s="9" t="n"/>
      <c r="G24" s="9" t="n"/>
      <c r="H24" s="9" t="n"/>
      <c r="I24" s="9" t="n"/>
      <c r="J24" s="9" t="n"/>
      <c r="K24" s="9" t="inlineStr">
        <is>
          <t>Double-height lounges with private backyard onsens, under 5.5m gabled voids.</t>
        </is>
      </c>
    </row>
    <row r="25">
      <c r="A25" s="9" t="inlineStr">
        <is>
          <t>Coffee Fields Forever</t>
        </is>
      </c>
      <c r="B25" s="9" t="inlineStr">
        <is>
          <t>Earth (Prithvi)</t>
        </is>
      </c>
      <c r="C25" s="26" t="n">
        <v>6</v>
      </c>
      <c r="D25" s="26" t="n">
        <v>450</v>
      </c>
      <c r="E25" s="9" t="n"/>
      <c r="F25" s="9" t="n"/>
      <c r="G25" s="9" t="n"/>
      <c r="H25" s="9" t="n"/>
      <c r="I25" s="9" t="n"/>
      <c r="J25" s="9" t="n"/>
      <c r="K25" s="9" t="inlineStr">
        <is>
          <t>Mivan cast, modular.</t>
        </is>
      </c>
    </row>
    <row r="26">
      <c r="A26" s="9" t="inlineStr">
        <is>
          <t>Coffee Fields Forever</t>
        </is>
      </c>
      <c r="B26" s="9" t="inlineStr">
        <is>
          <t>Ether (Akasha)</t>
        </is>
      </c>
      <c r="C26" s="26" t="n">
        <v>6</v>
      </c>
      <c r="D26" s="26" t="n">
        <v>450</v>
      </c>
      <c r="E26" s="9" t="n"/>
      <c r="F26" s="9" t="n"/>
      <c r="G26" s="9" t="n"/>
      <c r="H26" s="9" t="n"/>
      <c r="I26" s="9" t="n"/>
      <c r="J26" s="9" t="n"/>
      <c r="K26" s="9" t="inlineStr">
        <is>
          <t>Mivan cast, modular.</t>
        </is>
      </c>
    </row>
    <row r="27">
      <c r="A27" s="9" t="inlineStr">
        <is>
          <t>Coffee Fields Forever</t>
        </is>
      </c>
      <c r="B27" s="9" t="inlineStr">
        <is>
          <t>Air (Vayu)</t>
        </is>
      </c>
      <c r="C27" s="26" t="n">
        <v>8</v>
      </c>
      <c r="D27" s="26" t="n">
        <v>450</v>
      </c>
      <c r="E27" s="9" t="n"/>
      <c r="F27" s="9" t="n"/>
      <c r="G27" s="9" t="n"/>
      <c r="H27" s="9" t="n"/>
      <c r="I27" s="9" t="n"/>
      <c r="J27" s="9" t="n"/>
      <c r="K27" s="9" t="inlineStr">
        <is>
          <t>Mivan cast, modular.</t>
        </is>
      </c>
    </row>
    <row r="28">
      <c r="A28" s="9" t="inlineStr">
        <is>
          <t>Coffee Fields Forever</t>
        </is>
      </c>
      <c r="B28" s="9" t="inlineStr">
        <is>
          <t>Tree House</t>
        </is>
      </c>
      <c r="C28" s="26" t="n">
        <v>1</v>
      </c>
      <c r="D28" s="26" t="n">
        <v>322</v>
      </c>
      <c r="E28" s="9" t="n"/>
      <c r="F28" s="9" t="n"/>
      <c r="G28" s="9" t="n"/>
      <c r="H28" s="9" t="n"/>
      <c r="I28" s="9" t="n"/>
      <c r="J28" s="9" t="n"/>
      <c r="K28" s="9" t="inlineStr">
        <is>
          <t>Tension-suspended stilt cabin in the canopy. Not Mivan.</t>
        </is>
      </c>
    </row>
    <row r="29">
      <c r="A29" s="9" t="inlineStr">
        <is>
          <t>Confluence</t>
        </is>
      </c>
      <c r="B29" s="9" t="inlineStr">
        <is>
          <t>Earth</t>
        </is>
      </c>
      <c r="C29" s="26" t="n">
        <v>6</v>
      </c>
      <c r="D29" s="26" t="n">
        <v>500</v>
      </c>
      <c r="E29" s="9" t="n"/>
      <c r="F29" s="9" t="n"/>
      <c r="G29" s="9" t="n"/>
      <c r="H29" s="9" t="n"/>
      <c r="I29" s="9" t="n"/>
      <c r="J29" s="9" t="n"/>
      <c r="K29" s="9" t="inlineStr">
        <is>
          <t>Grounded, shaded, inward-looking cells opening to private courtyards.</t>
        </is>
      </c>
    </row>
    <row r="30">
      <c r="A30" s="9" t="inlineStr">
        <is>
          <t>Confluence</t>
        </is>
      </c>
      <c r="B30" s="9" t="inlineStr">
        <is>
          <t>Sky</t>
        </is>
      </c>
      <c r="C30" s="26" t="n">
        <v>6</v>
      </c>
      <c r="D30" s="26" t="n">
        <v>500</v>
      </c>
      <c r="E30" s="9" t="n"/>
      <c r="F30" s="9" t="n"/>
      <c r="G30" s="9" t="n"/>
      <c r="H30" s="9" t="n"/>
      <c r="I30" s="9" t="n"/>
      <c r="J30" s="9" t="n"/>
      <c r="K30" s="9" t="inlineStr">
        <is>
          <t>Post-tensioned cantilevered view-visor decks.</t>
        </is>
      </c>
    </row>
    <row r="32">
      <c r="A32" s="5" t="inlineStr">
        <is>
          <t>FOOTPRINT (sqft)</t>
        </is>
      </c>
    </row>
    <row r="33" ht="30" customHeight="1">
      <c r="A33" s="8" t="inlineStr">
        <is>
          <t>Estate</t>
        </is>
      </c>
      <c r="B33" s="8" t="inlineStr">
        <is>
          <t>Lodging built</t>
        </is>
      </c>
      <c r="C33" s="8" t="inlineStr">
        <is>
          <t>Working built</t>
        </is>
      </c>
      <c r="D33" s="8" t="inlineStr">
        <is>
          <t>Hardscape</t>
        </is>
      </c>
      <c r="E33" s="8" t="inlineStr">
        <is>
          <t>Softscape</t>
        </is>
      </c>
      <c r="F33" s="8" t="inlineStr"/>
      <c r="G33" s="8" t="inlineStr"/>
      <c r="H33" s="8" t="inlineStr"/>
      <c r="I33" s="8" t="inlineStr"/>
      <c r="J33" s="8" t="inlineStr"/>
      <c r="K33" s="8" t="inlineStr">
        <is>
          <t>Note</t>
        </is>
      </c>
    </row>
    <row r="34">
      <c r="A34" s="9" t="inlineStr">
        <is>
          <t>Solace</t>
        </is>
      </c>
      <c r="B34" s="26" t="n">
        <v>5020</v>
      </c>
      <c r="C34" s="26" t="n">
        <v>2992</v>
      </c>
      <c r="D34" s="26" t="n">
        <v>6942</v>
      </c>
      <c r="E34" s="9" t="n"/>
      <c r="F34" s="9" t="n"/>
      <c r="G34" s="9" t="n"/>
      <c r="H34" s="9" t="n"/>
      <c r="I34" s="9" t="n"/>
      <c r="J34" s="9" t="n"/>
      <c r="K34" s="9" t="inlineStr">
        <is>
          <t>The working half is meant to be invisible; a single built-area figure would hide whether that held.</t>
        </is>
      </c>
    </row>
    <row r="35">
      <c r="A35" s="9" t="inlineStr">
        <is>
          <t>Coffee Fields Forever</t>
        </is>
      </c>
      <c r="B35" s="26" t="n">
        <v>11372</v>
      </c>
      <c r="C35" s="26" t="n">
        <v>3760</v>
      </c>
      <c r="D35" s="26" t="n">
        <v>7905</v>
      </c>
      <c r="E35" s="26" t="n">
        <v>4800</v>
      </c>
      <c r="F35" s="9" t="n"/>
      <c r="G35" s="9" t="n"/>
      <c r="H35" s="9" t="n"/>
      <c r="I35" s="9" t="n"/>
      <c r="J35" s="9" t="n"/>
      <c r="K35" s="9" t="inlineStr">
        <is>
          <t>The working half is meant to be invisible; a single built-area figure would hide whether that held.</t>
        </is>
      </c>
    </row>
    <row r="36">
      <c r="A36" s="9" t="inlineStr">
        <is>
          <t>Confluence</t>
        </is>
      </c>
      <c r="B36" s="26" t="n">
        <v>7700</v>
      </c>
      <c r="C36" s="26" t="n">
        <v>3300</v>
      </c>
      <c r="D36" s="26" t="n">
        <v>8617</v>
      </c>
      <c r="E36" s="9" t="n"/>
      <c r="F36" s="9" t="n"/>
      <c r="G36" s="9" t="n"/>
      <c r="H36" s="9" t="n"/>
      <c r="I36" s="9" t="n"/>
      <c r="J36" s="9" t="n"/>
      <c r="K36" s="9" t="inlineStr">
        <is>
          <t>The working half is meant to be invisible; a single built-area figure would hide whether that held.</t>
        </is>
      </c>
    </row>
    <row r="38">
      <c r="A38" s="5" t="inlineStr">
        <is>
          <t>ARCHITECTURAL LANGUAGE — common to every climate pack</t>
        </is>
      </c>
    </row>
    <row r="39">
      <c r="A39" s="7" t="inlineStr">
        <is>
          <t>·</t>
        </is>
      </c>
      <c r="B39" s="7" t="inlineStr">
        <is>
          <t>Floating horizontal canopy architecture</t>
        </is>
      </c>
    </row>
    <row r="40">
      <c r="A40" s="7" t="inlineStr">
        <is>
          <t>·</t>
        </is>
      </c>
      <c r="B40" s="7" t="inlineStr">
        <is>
          <t>Deep protective overhangs</t>
        </is>
      </c>
    </row>
    <row r="41">
      <c r="A41" s="7" t="inlineStr">
        <is>
          <t>·</t>
        </is>
      </c>
      <c r="B41" s="7" t="inlineStr">
        <is>
          <t>Key-first planning</t>
        </is>
      </c>
    </row>
    <row r="42">
      <c r="A42" s="7" t="inlineStr">
        <is>
          <t>·</t>
        </is>
      </c>
      <c r="B42" s="7" t="inlineStr">
        <is>
          <t>Native ecological restoration</t>
        </is>
      </c>
    </row>
    <row r="43">
      <c r="A43" s="7" t="inlineStr">
        <is>
          <t>·</t>
        </is>
      </c>
      <c r="B43" s="7" t="inlineStr">
        <is>
          <t>Passive environmental performance</t>
        </is>
      </c>
    </row>
    <row r="44">
      <c r="A44" s="7" t="inlineStr">
        <is>
          <t>·</t>
        </is>
      </c>
      <c r="B44" s="7" t="inlineStr">
        <is>
          <t>Minimal and tactile material palettes</t>
        </is>
      </c>
    </row>
    <row r="45">
      <c r="A45" s="7" t="inlineStr">
        <is>
          <t>·</t>
        </is>
      </c>
      <c r="B45" s="7" t="inlineStr">
        <is>
          <t>Framed landscape views</t>
        </is>
      </c>
    </row>
    <row r="46">
      <c r="A46" s="7" t="inlineStr">
        <is>
          <t>·</t>
        </is>
      </c>
      <c r="B46" s="7" t="inlineStr">
        <is>
          <t>Invisible operational infrastructure</t>
        </is>
      </c>
    </row>
    <row r="48">
      <c r="A48" s="5" t="inlineStr">
        <is>
          <t>PLATFORM FINANCIAL CONSTITUTION</t>
        </is>
      </c>
    </row>
    <row r="49">
      <c r="A49" s="7" t="inlineStr">
        <is>
          <t>Maximum standard key size</t>
        </is>
      </c>
      <c r="B49" s="31" t="inlineStr">
        <is>
          <t>550 sqft</t>
        </is>
      </c>
    </row>
    <row r="50">
      <c r="A50" s="7" t="inlineStr">
        <is>
          <t>Maximum key development cost</t>
        </is>
      </c>
      <c r="B50" s="31" t="inlineStr">
        <is>
          <t>₹50 lakh</t>
        </is>
      </c>
    </row>
    <row r="51">
      <c r="A51" s="7" t="inlineStr">
        <is>
          <t>Commons investment envelope</t>
        </is>
      </c>
      <c r="B51" s="31" t="inlineStr">
        <is>
          <t>₹1.0 Cr – ₹3.5 Cr</t>
        </is>
      </c>
    </row>
    <row r="52">
      <c r="A52" s="7" t="inlineStr">
        <is>
          <t>Minimum landscape preservation</t>
        </is>
      </c>
      <c r="B52" s="31" t="inlineStr">
        <is>
          <t>65% of site area</t>
        </is>
      </c>
    </row>
    <row r="53">
      <c r="A53" s="7" t="inlineStr">
        <is>
          <t>Revenue priority</t>
        </is>
      </c>
      <c r="B53" s="31" t="inlineStr">
        <is>
          <t>Keys before anything built beside them</t>
        </is>
      </c>
    </row>
    <row r="54">
      <c r="A54" s="7" t="inlineStr">
        <is>
          <t>Design reuse target</t>
        </is>
      </c>
      <c r="B54" s="31" t="inlineStr">
        <is>
          <t>Above 90%</t>
        </is>
      </c>
    </row>
    <row r="55">
      <c r="A55" s="7" t="inlineStr">
        <is>
          <t>Component standardisation</t>
        </is>
      </c>
      <c r="B55" s="31" t="inlineStr">
        <is>
          <t>Above 95%</t>
        </is>
      </c>
    </row>
  </sheetData>
  <mergeCells count="6">
    <mergeCell ref="A18:K18"/>
    <mergeCell ref="B14:K14"/>
    <mergeCell ref="A2:K2"/>
    <mergeCell ref="B15:K15"/>
    <mergeCell ref="B16:K16"/>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8" customWidth="1" min="1" max="1"/>
    <col width="20" customWidth="1" min="2" max="2"/>
    <col width="56" customWidth="1" min="3" max="3"/>
    <col width="20" customWidth="1" min="4" max="4"/>
    <col width="24" customWidth="1" min="5" max="5"/>
    <col width="34" customWidth="1" min="6" max="6"/>
  </cols>
  <sheetData>
    <row r="1">
      <c r="A1" s="1" t="inlineStr">
        <is>
          <t>THE STANDARDISED PIPELINE</t>
        </is>
      </c>
    </row>
    <row r="2">
      <c r="A2" s="2" t="inlineStr">
        <is>
          <t>Ten lifecycle stages every vehicle passes through, and the construction programme from the ledger.</t>
        </is>
      </c>
    </row>
    <row r="4" ht="30" customHeight="1">
      <c r="A4" s="8" t="inlineStr">
        <is>
          <t>Stage</t>
        </is>
      </c>
      <c r="B4" s="8" t="inlineStr">
        <is>
          <t>Name</t>
        </is>
      </c>
      <c r="C4" s="8" t="inlineStr">
        <is>
          <t>Purpose</t>
        </is>
      </c>
      <c r="D4" s="8" t="inlineStr">
        <is>
          <t>Gate</t>
        </is>
      </c>
      <c r="E4" s="8" t="inlineStr">
        <is>
          <t>Owner</t>
        </is>
      </c>
      <c r="F4" s="8" t="inlineStr">
        <is>
          <t>Where the three are</t>
        </is>
      </c>
    </row>
    <row r="5">
      <c r="A5" s="32" t="inlineStr">
        <is>
          <t>01</t>
        </is>
      </c>
      <c r="B5" s="32" t="inlineStr">
        <is>
          <t>Setup</t>
        </is>
      </c>
      <c r="C5" s="32" t="inlineStr">
        <is>
          <t>Form the LLP, establish authority and assemble the formation record.</t>
        </is>
      </c>
      <c r="D5" s="32" t="inlineStr">
        <is>
          <t>VEHICLE READY</t>
        </is>
      </c>
      <c r="E5" s="32" t="inlineStr">
        <is>
          <t>Legal / Control Office</t>
        </is>
      </c>
      <c r="F5" s="32" t="inlineStr">
        <is>
          <t>slowspace, solace</t>
        </is>
      </c>
    </row>
    <row r="6">
      <c r="A6" s="32" t="inlineStr">
        <is>
          <t>02</t>
        </is>
      </c>
      <c r="B6" s="32" t="inlineStr">
        <is>
          <t>Offer</t>
        </is>
      </c>
      <c r="C6" s="32" t="inlineStr">
        <is>
          <t>Approve the proposition, capacity, evidence, risk and access controls.</t>
        </is>
      </c>
      <c r="D6" s="32" t="inlineStr">
        <is>
          <t>OFFER OPEN</t>
        </is>
      </c>
      <c r="E6" s="32" t="inlineStr">
        <is>
          <t>IR / Compliance</t>
        </is>
      </c>
      <c r="F6" s="32" t="inlineStr">
        <is>
          <t>coorgcreek</t>
        </is>
      </c>
    </row>
    <row r="7">
      <c r="A7" s="33" t="inlineStr">
        <is>
          <t>03</t>
        </is>
      </c>
      <c r="B7" s="33" t="inlineStr">
        <is>
          <t>Partners &amp; KYC</t>
        </is>
      </c>
      <c r="C7" s="33" t="inlineStr">
        <is>
          <t>Qualify each prospective Partner and preserve the identity evidence.</t>
        </is>
      </c>
      <c r="D7" s="33" t="inlineStr">
        <is>
          <t>PARTNER CLEARED</t>
        </is>
      </c>
      <c r="E7" s="33" t="inlineStr">
        <is>
          <t>IR / Compliance</t>
        </is>
      </c>
      <c r="F7" s="33" t="inlineStr"/>
    </row>
    <row r="8">
      <c r="A8" s="33" t="inlineStr">
        <is>
          <t>04</t>
        </is>
      </c>
      <c r="B8" s="33" t="inlineStr">
        <is>
          <t>Settlement</t>
        </is>
      </c>
      <c r="C8" s="33" t="inlineStr">
        <is>
          <t>Verify funds, reconcile the transaction and complete controlled settlement.</t>
        </is>
      </c>
      <c r="D8" s="33" t="inlineStr">
        <is>
          <t>FUNDS SETTLED</t>
        </is>
      </c>
      <c r="E8" s="33" t="inlineStr">
        <is>
          <t>Finance / Legal</t>
        </is>
      </c>
      <c r="F8" s="33" t="inlineStr"/>
    </row>
    <row r="9">
      <c r="A9" s="33" t="inlineStr">
        <is>
          <t>05</t>
        </is>
      </c>
      <c r="B9" s="33" t="inlineStr">
        <is>
          <t>Ownership</t>
        </is>
      </c>
      <c r="C9" s="33" t="inlineStr">
        <is>
          <t>Admit the Partner, issue the interest and update the constitutional registers.</t>
        </is>
      </c>
      <c r="D9" s="33" t="inlineStr">
        <is>
          <t>INTEREST ISSUED</t>
        </is>
      </c>
      <c r="E9" s="33" t="inlineStr">
        <is>
          <t>Legal / Finance</t>
        </is>
      </c>
      <c r="F9" s="33" t="inlineStr"/>
    </row>
    <row r="10">
      <c r="A10" s="33" t="inlineStr">
        <is>
          <t>06</t>
        </is>
      </c>
      <c r="B10" s="33" t="inlineStr">
        <is>
          <t>Governance</t>
        </is>
      </c>
      <c r="C10" s="33" t="inlineStr">
        <is>
          <t>Activate rights, policies, authorities, resolutions and compliance controls.</t>
        </is>
      </c>
      <c r="D10" s="33" t="inlineStr">
        <is>
          <t>AUTHORITY CURRENT</t>
        </is>
      </c>
      <c r="E10" s="33" t="inlineStr">
        <is>
          <t>Board / Governance</t>
        </is>
      </c>
      <c r="F10" s="33" t="inlineStr"/>
    </row>
    <row r="11">
      <c r="A11" s="33" t="inlineStr">
        <is>
          <t>07</t>
        </is>
      </c>
      <c r="B11" s="33" t="inlineStr">
        <is>
          <t>Space + Progress</t>
        </is>
      </c>
      <c r="C11" s="33" t="inlineStr">
        <is>
          <t>Control the asset, baseline, budget, delivery evidence and material change.</t>
        </is>
      </c>
      <c r="D11" s="33" t="inlineStr">
        <is>
          <t>DELIVERY CONTROLLED</t>
        </is>
      </c>
      <c r="E11" s="33" t="inlineStr">
        <is>
          <t>COO / Project</t>
        </is>
      </c>
      <c r="F11" s="33" t="inlineStr"/>
    </row>
    <row r="12">
      <c r="A12" s="33" t="inlineStr">
        <is>
          <t>08</t>
        </is>
      </c>
      <c r="B12" s="33" t="inlineStr">
        <is>
          <t>Live + Time</t>
        </is>
      </c>
      <c r="C12" s="33" t="inlineStr">
        <is>
          <t>Publish the annual pool, derive entitlements and hand allocation to operations.</t>
        </is>
      </c>
      <c r="D12" s="33" t="inlineStr">
        <is>
          <t>TIME PUBLISHED</t>
        </is>
      </c>
      <c r="E12" s="33" t="inlineStr">
        <is>
          <t>Time Office / Operations</t>
        </is>
      </c>
      <c r="F12" s="33" t="inlineStr"/>
    </row>
    <row r="13">
      <c r="A13" s="33" t="inlineStr">
        <is>
          <t>09</t>
        </is>
      </c>
      <c r="B13" s="33" t="inlineStr">
        <is>
          <t>Cashflow + Value</t>
        </is>
      </c>
      <c r="C13" s="33" t="inlineStr">
        <is>
          <t>Close periods, preserve reserves, value the interest and execute distributions.</t>
        </is>
      </c>
      <c r="D13" s="33" t="inlineStr">
        <is>
          <t>PERIOD CLOSED</t>
        </is>
      </c>
      <c r="E13" s="33" t="inlineStr">
        <is>
          <t>Finance / Board</t>
        </is>
      </c>
      <c r="F13" s="33" t="inlineStr"/>
    </row>
    <row r="14">
      <c r="A14" s="33" t="inlineStr">
        <is>
          <t>10</t>
        </is>
      </c>
      <c r="B14" s="33" t="inlineStr">
        <is>
          <t>Board + Comms</t>
        </is>
      </c>
      <c r="C14" s="33" t="inlineStr">
        <is>
          <t>Prepare meetings, decide matters, issue notices and preserve the board record.</t>
        </is>
      </c>
      <c r="D14" s="33" t="inlineStr">
        <is>
          <t>BOARD RECORD CURRENT</t>
        </is>
      </c>
      <c r="E14" s="33" t="inlineStr">
        <is>
          <t>Board / Communications</t>
        </is>
      </c>
      <c r="F14" s="33" t="inlineStr"/>
    </row>
    <row r="17">
      <c r="A17" s="5" t="inlineStr">
        <is>
          <t>CONSTRUCTION PROGRAMME — from the deployment gantt</t>
        </is>
      </c>
    </row>
    <row r="18" ht="30" customHeight="1">
      <c r="A18" s="8" t="inlineStr">
        <is>
          <t>Estate</t>
        </is>
      </c>
      <c r="B18" s="8" t="inlineStr">
        <is>
          <t>Keys</t>
        </is>
      </c>
      <c r="C18" s="8" t="inlineStr">
        <is>
          <t>Start</t>
        </is>
      </c>
      <c r="D18" s="8" t="inlineStr">
        <is>
          <t>End</t>
        </is>
      </c>
      <c r="E18" s="8" t="inlineStr">
        <is>
          <t>Vehicle</t>
        </is>
      </c>
      <c r="F18" s="8" t="inlineStr">
        <is>
          <t>Note</t>
        </is>
      </c>
    </row>
    <row r="19">
      <c r="A19" s="9" t="inlineStr">
        <is>
          <t>Solace</t>
        </is>
      </c>
      <c r="B19" s="9" t="n">
        <v>6</v>
      </c>
      <c r="C19" s="9" t="inlineStr">
        <is>
          <t>2026-07</t>
        </is>
      </c>
      <c r="D19" s="9" t="inlineStr">
        <is>
          <t>2027-06</t>
        </is>
      </c>
      <c r="E19" s="9" t="inlineStr">
        <is>
          <t>solace</t>
        </is>
      </c>
      <c r="F19" s="9" t="inlineStr">
        <is>
          <t>Prove the complete SGDS reference implementation at small scale</t>
        </is>
      </c>
    </row>
    <row r="20">
      <c r="A20" s="9" t="inlineStr">
        <is>
          <t>Coffee Fields Forever</t>
        </is>
      </c>
      <c r="B20" s="9" t="n">
        <v>20</v>
      </c>
      <c r="C20" s="9" t="inlineStr">
        <is>
          <t>2026-11</t>
        </is>
      </c>
      <c r="D20" s="9" t="inlineStr">
        <is>
          <t>2027-10</t>
        </is>
      </c>
      <c r="E20" s="9" t="inlineStr">
        <is>
          <t>—</t>
        </is>
      </c>
      <c r="F20" s="9" t="inlineStr">
        <is>
          <t>Establish the flagship benchmark for ESKAPE</t>
        </is>
      </c>
    </row>
    <row r="21">
      <c r="A21" s="9" t="inlineStr">
        <is>
          <t>Confluence</t>
        </is>
      </c>
      <c r="B21" s="9" t="n">
        <v>12</v>
      </c>
      <c r="C21" s="9" t="inlineStr">
        <is>
          <t>2026-09</t>
        </is>
      </c>
      <c r="D21" s="9" t="inlineStr">
        <is>
          <t>2027-08</t>
        </is>
      </c>
      <c r="E21" s="9" t="inlineStr">
        <is>
          <t>slowspace</t>
        </is>
      </c>
      <c r="F21" s="9" t="inlineStr">
        <is>
          <t>Validate coastal deployment and LLP ownership structures</t>
        </is>
      </c>
    </row>
    <row r="22">
      <c r="A22" s="9" t="inlineStr">
        <is>
          <t>The Creek</t>
        </is>
      </c>
      <c r="B22" s="9" t="n">
        <v>20</v>
      </c>
      <c r="C22" s="9" t="inlineStr">
        <is>
          <t>2027-10</t>
        </is>
      </c>
      <c r="D22" s="9" t="inlineStr">
        <is>
          <t>2028-09</t>
        </is>
      </c>
      <c r="E22" s="9" t="inlineStr">
        <is>
          <t>coorgcreek</t>
        </is>
      </c>
      <c r="F22" s="9" t="inlineStr">
        <is>
          <t>Demonstrate premium riverine destination economics</t>
        </is>
      </c>
    </row>
    <row r="23">
      <c r="A23" s="9" t="inlineStr">
        <is>
          <t>Nine Hills</t>
        </is>
      </c>
      <c r="B23" s="9" t="n">
        <v>16</v>
      </c>
      <c r="C23" s="9" t="inlineStr">
        <is>
          <t>2027-09</t>
        </is>
      </c>
      <c r="D23" s="9" t="inlineStr">
        <is>
          <t>2028-08</t>
        </is>
      </c>
      <c r="E23" s="9" t="inlineStr">
        <is>
          <t>—</t>
        </is>
      </c>
      <c r="F23" s="9" t="inlineStr">
        <is>
          <t>Standardise mountain hospitality for future replication</t>
        </is>
      </c>
    </row>
    <row r="26">
      <c r="A26" s="2" t="inlineStr">
        <is>
          <t>Every project is locked to twelve months and a single Mivan formwork set moves between sites, which is why the starts are staggered rather than parallel.</t>
        </is>
      </c>
    </row>
  </sheetData>
  <mergeCells count="3">
    <mergeCell ref="A26:F26"/>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7" customWidth="1" min="1" max="1"/>
    <col width="13" customWidth="1" min="2" max="2"/>
    <col width="12" customWidth="1" min="3" max="3"/>
    <col width="40" customWidth="1" min="4" max="4"/>
    <col width="62" customWidth="1" min="5" max="5"/>
    <col width="34" customWidth="1" min="6" max="6"/>
  </cols>
  <sheetData>
    <row r="1">
      <c r="A1" s="1" t="inlineStr">
        <is>
          <t>WHAT DOES NOT RECONCILE</t>
        </is>
      </c>
    </row>
    <row r="2">
      <c r="A2" s="2" t="inlineStr">
        <is>
          <t>Nine contradictions across the intake, the spatial ledger and the modelled canon. Read this before acting on any figure in this workbook.</t>
        </is>
      </c>
    </row>
    <row r="4" ht="30" customHeight="1">
      <c r="A4" s="8" t="inlineStr">
        <is>
          <t>ID</t>
        </is>
      </c>
      <c r="B4" s="8" t="inlineStr">
        <is>
          <t>Vehicle</t>
        </is>
      </c>
      <c r="C4" s="8" t="inlineStr">
        <is>
          <t>Severity</t>
        </is>
      </c>
      <c r="D4" s="8" t="inlineStr">
        <is>
          <t>What</t>
        </is>
      </c>
      <c r="E4" s="8" t="inlineStr">
        <is>
          <t>The two sides</t>
        </is>
      </c>
      <c r="F4" s="8" t="inlineStr">
        <is>
          <t>Who settles it</t>
        </is>
      </c>
    </row>
    <row r="5" ht="84" customHeight="1">
      <c r="A5" s="34" t="inlineStr">
        <is>
          <t>C-01</t>
        </is>
      </c>
      <c r="B5" s="34" t="inlineStr">
        <is>
          <t>solace</t>
        </is>
      </c>
      <c r="C5" s="35" t="inlineStr">
        <is>
          <t>ADVISORY</t>
        </is>
      </c>
      <c r="D5" s="34" t="inlineStr">
        <is>
          <t>Site area disagrees with the portfolio registry.</t>
        </is>
      </c>
      <c r="E5" s="34" t="inlineStr">
        <is>
          <t>• Intake sheet 2: 1.55 acres (0.20 owned + 1.35 leased)
• Spatial ledger: site area 0.6 acres, buildable envelope 0.2 acres
The ledger narrows this rather than settling it. Its 0.2-acre buildable envelope matches the intake's 0.20 owned exactly, which suggests the registry measures the owned parcel and the intake measures owned plus leased. That is a reading, not a confirmation, and the difference decides what a partner is told they have a share of.</t>
        </is>
      </c>
      <c r="F5" s="34" t="inlineStr">
        <is>
          <t>Confirmation that 0.6 acres is the owned parcel and 1.55 includes the lease</t>
        </is>
      </c>
    </row>
    <row r="6" ht="84" customHeight="1">
      <c r="A6" s="34" t="inlineStr">
        <is>
          <t>C-02</t>
        </is>
      </c>
      <c r="B6" s="34" t="inlineStr">
        <is>
          <t>coorgcreek</t>
        </is>
      </c>
      <c r="C6" s="35" t="inlineStr">
        <is>
          <t>ADVISORY</t>
        </is>
      </c>
      <c r="D6" s="34" t="inlineStr">
        <is>
          <t>The vehicle is The Creek. Its name says otherwise. — SETTLED 4 Aug 2026</t>
        </is>
      </c>
      <c r="E6" s="34" t="inlineStr">
        <is>
          <t>• Intake: Coorg Coffee Creek LLP, 10 acres, 20 keys
• Spatial ledger: The Creek, Coorg, 10.0 acres, 5.0 buildable, 20 keys
Founder confirmed the Coorg vehicle is The Creek, which the matching area and key count had already suggested. What remains is only the name: 'Coorg Coffee Creek' borrows its middle word from Coffee Fields Forever, a different estate three acres in size, and a reader searching either name should not land on the wrong ground. Kept as advisory so the naming is fixed deliberately rather than forgotten.</t>
        </is>
      </c>
      <c r="F6" s="34" t="inlineStr">
        <is>
          <t>Settled. The registered name is the remaining tidy-up.</t>
        </is>
      </c>
    </row>
    <row r="7" ht="84" customHeight="1">
      <c r="A7" s="36" t="inlineStr">
        <is>
          <t>C-03</t>
        </is>
      </c>
      <c r="B7" s="36" t="inlineStr">
        <is>
          <t>solace</t>
        </is>
      </c>
      <c r="C7" s="11" t="inlineStr">
        <is>
          <t>BLOCKING</t>
        </is>
      </c>
      <c r="D7" s="36" t="inlineStr">
        <is>
          <t>The capital stack disagrees with the offering sheet.</t>
        </is>
      </c>
      <c r="E7" s="36" t="inlineStr">
        <is>
          <t>• Sheet 3 (Capital stack): equity ₹2.00 Cr, project ₹5.00 Cr
• Sheet 4 (Units &amp; ladder): equity ₹2.50 Cr, project ₹5.50 Cr
₹50 lakh of equity, and the two sheets are the two places the same number is stated. Every unit price, share percentage and yield for this vehicle divides by it.</t>
        </is>
      </c>
      <c r="F7" s="36" t="inlineStr">
        <is>
          <t>Whichever sheet is current</t>
        </is>
      </c>
    </row>
    <row r="8" ht="84" customHeight="1">
      <c r="A8" s="36" t="inlineStr">
        <is>
          <t>C-04</t>
        </is>
      </c>
      <c r="B8" s="36" t="inlineStr">
        <is>
          <t>slowspace</t>
        </is>
      </c>
      <c r="C8" s="11" t="inlineStr">
        <is>
          <t>BLOCKING</t>
        </is>
      </c>
      <c r="D8" s="36" t="inlineStr">
        <is>
          <t>Site area disagrees with the figure the platform has been showing.</t>
        </is>
      </c>
      <c r="E8" s="36" t="inlineStr">
        <is>
          <t>• Intake sheet 2: .3 acres · dual frontage
• app/_assemblies/data.ts, from the site dossier: 1.42 acres · dual frontage
• Spatial ledger (Confluence): site 4.4 acres, buildable envelope 2.3 acres
Three figures for one site, on the vehicle that is already public and already has five of six units subscribed. The ledger's 2.3-acre buildable envelope is close enough to the intake's '.3' to suggest a truncated 2.3 — which would make the site 4.4 acres and both smaller figures wrong. Somebody who has committed money has been shown one of these.</t>
        </is>
      </c>
      <c r="F8" s="36" t="inlineStr">
        <is>
          <t>The survey record, against the Confluence site dossier</t>
        </is>
      </c>
    </row>
    <row r="9" ht="84" customHeight="1">
      <c r="A9" s="36" t="inlineStr">
        <is>
          <t>C-05</t>
        </is>
      </c>
      <c r="B9" s="36" t="inlineStr">
        <is>
          <t>solace</t>
        </is>
      </c>
      <c r="C9" s="11" t="inlineStr">
        <is>
          <t>BLOCKING</t>
        </is>
      </c>
      <c r="D9" s="36" t="inlineStr">
        <is>
          <t>The waterfall is not stated.</t>
        </is>
      </c>
      <c r="E9" s="36" t="inlineStr">
        <is>
          <t>• Sheet 5: five of six stages blank, with 10000 bps against 'to partners'
• Every other vehicle: six stages summing to 10000 bps
Read literally it gives partners 100% of gross with no operator share, no reserve, no sinking fund and no debt service, on a vehicle carrying a ₹3.0 Cr facility. It is a blank row rather than a split, so nothing is transcribed.</t>
        </is>
      </c>
      <c r="F9" s="36" t="inlineStr">
        <is>
          <t>The six-stage split for this vehicle</t>
        </is>
      </c>
    </row>
    <row r="10" ht="84" customHeight="1">
      <c r="A10" s="36" t="inlineStr">
        <is>
          <t>C-06</t>
        </is>
      </c>
      <c r="B10" s="36" t="inlineStr">
        <is>
          <t>slowspace</t>
        </is>
      </c>
      <c r="C10" s="11" t="inlineStr">
        <is>
          <t>BLOCKING</t>
        </is>
      </c>
      <c r="D10" s="36" t="inlineStr">
        <is>
          <t>The unit structure disagrees with the modelled canon.</t>
        </is>
      </c>
      <c r="E10" s="36" t="inlineStr">
        <is>
          <t>• Intake sheet 4: 6 units at ₹40,00,000, 5 subscribed, 1 available, plus a ₹1.6 Cr promoter stake
• app/_assemblies/slowspace.ts: 20 units at ₹20,00,000, 11 subscribed, 45% remaining, no promoter
These are different instruments, not different roundings. The intake introduces a 40% sponsor stake the canon does not model, and moves availability from 45% to 10%. The public offering page currently reads from the canon.</t>
        </is>
      </c>
      <c r="F10" s="36" t="inlineStr">
        <is>
          <t>Whether the promoter stake is real, and which availability is current</t>
        </is>
      </c>
    </row>
    <row r="11" ht="84" customHeight="1">
      <c r="A11" s="34" t="inlineStr">
        <is>
          <t>C-07</t>
        </is>
      </c>
      <c r="B11" s="34" t="inlineStr">
        <is>
          <t>coorgcreek</t>
        </is>
      </c>
      <c r="C11" s="35" t="inlineStr">
        <is>
          <t>ADVISORY</t>
        </is>
      </c>
      <c r="D11" s="34" t="inlineStr">
        <is>
          <t>The brand disagrees.</t>
        </is>
      </c>
      <c r="E11" s="34" t="inlineStr">
        <is>
          <t>• Intake sheet 2: SlowSpace brand
• Spatial ledger: The Creek is ESKAPE
Both Coorg estates in the ledger are ESKAPE and the intake puts this one under SlowSpace. The brand decides which design pack, which price position and which name a partner is buying into, so it is not a labelling detail.</t>
        </is>
      </c>
      <c r="F11" s="34" t="inlineStr">
        <is>
          <t>Which brand The Creek is being developed under</t>
        </is>
      </c>
    </row>
    <row r="12" ht="84" customHeight="1">
      <c r="A12" s="34" t="inlineStr">
        <is>
          <t>C-08</t>
        </is>
      </c>
      <c r="B12" s="34" t="inlineStr">
        <is>
          <t>solace</t>
        </is>
      </c>
      <c r="C12" s="35" t="inlineStr">
        <is>
          <t>ADVISORY</t>
        </is>
      </c>
      <c r="D12" s="34" t="inlineStr">
        <is>
          <t>The studios exceed the platform's own maximum.</t>
        </is>
      </c>
      <c r="E12" s="34" t="inlineStr">
        <is>
          <t>• Spatial ledger, SOLACE sheet: keys at 565 sqft
• Platform financial constitution: maximum standard key size 550 sqft
Fifteen square feet, and the standard is stated in the same document. Either Solace is a declared exception or the maximum has moved; leaving it unstated makes the constitution decorative. constants/spatial.ts reports it on every render.</t>
        </is>
      </c>
      <c r="F12" s="34" t="inlineStr">
        <is>
          <t>Whether Solace is an exception or the standard is now 565</t>
        </is>
      </c>
    </row>
    <row r="13" ht="84" customHeight="1">
      <c r="A13" s="36" t="inlineStr">
        <is>
          <t>C-09</t>
        </is>
      </c>
      <c r="B13" s="36" t="inlineStr">
        <is>
          <t>slowspace</t>
        </is>
      </c>
      <c r="C13" s="11" t="inlineStr">
        <is>
          <t>BLOCKING</t>
        </is>
      </c>
      <c r="D13" s="36" t="inlineStr">
        <is>
          <t>Entitlement begins five months after construction ends.</t>
        </is>
      </c>
      <c r="E13" s="36" t="inlineStr">
        <is>
          <t>• Intake sheet 6: entitlement begins at handover, Jan 2028
• Spatial ledger gantt: Confluence runs Sep 2026 – Aug 2027
A partner subscribing today is told when they can first use the place. The two documents disagree by five months, and the earlier date is the one in the construction programme while the later one is in the document a partner reads.</t>
        </is>
      </c>
      <c r="F13" s="36" t="inlineStr">
        <is>
          <t>The programme date, against what subscribers have been told</t>
        </is>
      </c>
    </row>
    <row r="15">
      <c r="A15" s="2" t="inlineStr">
        <is>
          <t>5 of 9 are blocking. A blocking conflict stops its vehicle reaching a public surface — that gate is a function in constants/vehicles.ts, not a convention, because a convention is what gets forgotten under a launch date.</t>
        </is>
      </c>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2026-08-04T02:29:52Z</dcterms:created>
  <dcterms:modified xmlns:dcterms="http://purl.org/dc/terms/" xmlns:xsi="http://www.w3.org/2001/XMLSchema-instance" xsi:type="dcterms:W3CDTF">2026-08-04T02:29:52Z</dcterms:modified>
</cp:coreProperties>
</file>