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ummary" sheetId="2" state="visible" r:id="rId4"/>
    <sheet name="IA" sheetId="3" state="visible" r:id="rId5"/>
    <sheet name="Popups" sheetId="4" state="visible" r:id="rId6"/>
    <sheet name="Notifications" sheetId="5" state="visible" r:id="rId7"/>
    <sheet name="Emails" sheetId="6" state="visible" r:id="rId8"/>
    <sheet name="Gaps" sheetId="7" state="visible" r:id="rId9"/>
    <sheet name="Decisions" sheetId="8" state="visible" r:id="rId10"/>
    <sheet name="Assets" sheetId="9" state="visible" r:id="rId11"/>
    <sheet name="Domain" sheetId="10" state="visible" r:id="rId12"/>
  </sheets>
  <definedNames>
    <definedName function="false" hidden="true" localSheetId="9" name="_xlnm._FilterDatabase" vbProcedure="false">Domain!$A$4:$G$84</definedName>
    <definedName function="false" hidden="true" localSheetId="2" name="_xlnm._FilterDatabase" vbProcedure="false">IA!$A$4:$O$139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Claude</author>
  </authors>
  <commentList>
    <comment ref="F5" authorId="0">
      <text>
        <r>
          <rPr>
            <sz val="10"/>
            <rFont val="Arial"/>
            <family val="2"/>
          </rPr>
          <t xml:space="preserve">Fill these four columns. Everything to the left is derived and will be overwritten if this workbook is regenerated.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8</xdr:rowOff>
              </xdr:from>
              <xdr:to>
                <xdr:col>2</xdr:col>
                <xdr:colOff>102</xdr:colOff>
                <xdr:row>3</xdr:row>
                <xdr:rowOff>12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<sst xmlns="http://schemas.openxmlformats.org/spreadsheetml/2006/main" count="3016" uniqueCount="1316">
  <si>
    <t xml:space="preserve">Getaway Collective · Build State</t>
  </si>
  <si>
    <t xml:space="preserve">Generated 1 Aug 2026 from the repository at C:\gc-app, commit d58044a</t>
  </si>
  <si>
    <t xml:space="preserve">WHAT THIS IS</t>
  </si>
  <si>
    <t xml:space="preserve">Every addressable surface, pop-up, notification and email in the platform, with what is built, what is not, and what is waiting on you. The Domain sheet carries the constitutional model: the LLP at the apex, Space / Time / Capital beneath it, Governance as the operating law.</t>
  </si>
  <si>
    <t xml:space="preserve">HOW IT WAS MADE</t>
  </si>
  <si>
    <t xml:space="preserve">The IA sheet is EXTRACTED, not typed. constants/routes.ts is imported directly and each row's status is read from the generated page file on disk — so this workbook cannot disagree with the application about what exists.</t>
  </si>
  <si>
    <t xml:space="preserve">THE SOURCE COLUMN</t>
  </si>
  <si>
    <t xml:space="preserve">The single most important column on every sheet after IA. It separates fact from opinion:</t>
  </si>
  <si>
    <t xml:space="preserve">  Code</t>
  </si>
  <si>
    <t xml:space="preserve">Extracted from the repository. Verifiable — the file and line are named.</t>
  </si>
  <si>
    <t xml:space="preserve">  Doc</t>
  </si>
  <si>
    <t xml:space="preserve">Stated in a repository document (WAVE-5-OPEN-QUESTIONS.md, WAVE-6-CHANGELOG.md).</t>
  </si>
  <si>
    <t xml:space="preserve">  Proposed</t>
  </si>
  <si>
    <t xml:space="preserve">MY RECOMMENDATION. Not in the repo, not agreed by you, and not built. Nothing marked Proposed has been decided.</t>
  </si>
  <si>
    <t xml:space="preserve">STATUS VALUES</t>
  </si>
  <si>
    <t xml:space="preserve">  Built</t>
  </si>
  <si>
    <t xml:space="preserve">Renders the real interface.</t>
  </si>
  <si>
    <t xml:space="preserve">  Scaffold</t>
  </si>
  <si>
    <t xml:space="preserve">Renders the registry Surface: the assembly's declared sections and rules, not the product. It is deliberately obvious that it is a scaffold — a scaffold that looks finished gets signed off.</t>
  </si>
  <si>
    <t xml:space="preserve">  Not built</t>
  </si>
  <si>
    <t xml:space="preserve">Nothing exists.</t>
  </si>
  <si>
    <t xml:space="preserve">  Framework</t>
  </si>
  <si>
    <t xml:space="preserve">Handled by a Next.js convention file rather than a page (/404 → not-found.tsx).</t>
  </si>
  <si>
    <t xml:space="preserve">CELLS YOU EDIT</t>
  </si>
  <si>
    <t xml:space="preserve">Yellow. They are on the Decisions and Assets sheets — the Decision / Owner / Due / Status columns. Everything else is derived and will be overwritten when this is regenerated.</t>
  </si>
  <si>
    <t xml:space="preserve">WHAT IS NOT HERE</t>
  </si>
  <si>
    <t xml:space="preserve">Database, authentication and payments. None of the three exists — every page reads static TypeScript. See the Gaps sheet.</t>
  </si>
  <si>
    <t xml:space="preserve">Build State · Summary</t>
  </si>
  <si>
    <t xml:space="preserve">Every figure is a COUNTIF against the IA sheet. Re-derive by regenerating IA; nothing here is typed.</t>
  </si>
  <si>
    <t xml:space="preserve">BY STATUS</t>
  </si>
  <si>
    <t xml:space="preserve">Scaffold = renders the registry Surface, which shows the assembly's declared sections and rules. It is the product's outline, not the product.</t>
  </si>
  <si>
    <t xml:space="preserve">Count</t>
  </si>
  <si>
    <t xml:space="preserve">% of total</t>
  </si>
  <si>
    <t xml:space="preserve">Built</t>
  </si>
  <si>
    <t xml:space="preserve">Scaffold</t>
  </si>
  <si>
    <t xml:space="preserve">Framework</t>
  </si>
  <si>
    <t xml:space="preserve">Not built</t>
  </si>
  <si>
    <t xml:space="preserve">Total</t>
  </si>
  <si>
    <t xml:space="preserve">BY ACCESS</t>
  </si>
  <si>
    <t xml:space="preserve">Access is DERIVED from the assembly's vantage, not declared per route. Twelve routes override it, and route-lint refuses an override without a stated reason.</t>
  </si>
  <si>
    <t xml:space="preserve">public</t>
  </si>
  <si>
    <t xml:space="preserve">identified</t>
  </si>
  <si>
    <t xml:space="preserve">accredited</t>
  </si>
  <si>
    <t xml:space="preserve">member</t>
  </si>
  <si>
    <t xml:space="preserve">office</t>
  </si>
  <si>
    <t xml:space="preserve">BY GROUP</t>
  </si>
  <si>
    <t xml:space="preserve">gateway</t>
  </si>
  <si>
    <t xml:space="preserve">space</t>
  </si>
  <si>
    <t xml:space="preserve">capital</t>
  </si>
  <si>
    <t xml:space="preserve">time</t>
  </si>
  <si>
    <t xml:space="preserve">admin</t>
  </si>
  <si>
    <t xml:space="preserve">CROSS-CUT</t>
  </si>
  <si>
    <t xml:space="preserve">Public AND built</t>
  </si>
  <si>
    <t xml:space="preserve">What a stranger can actually see today.</t>
  </si>
  <si>
    <t xml:space="preserve">Public AND scaffold</t>
  </si>
  <si>
    <t xml:space="preserve">Public URLs that render an outline. These are indexable — the highest-priority build queue.</t>
  </si>
  <si>
    <t xml:space="preserve">Indexable</t>
  </si>
  <si>
    <t xml:space="preserve">Must equal the public count: route-lint refuses an indexable route that is not public.</t>
  </si>
  <si>
    <t xml:space="preserve">Office routes with rights</t>
  </si>
  <si>
    <t xml:space="preserve">Office routes naming a required right from lib/authority.ts.</t>
  </si>
  <si>
    <t xml:space="preserve">Dynamic routes</t>
  </si>
  <si>
    <t xml:space="preserve">Carry at least one [param] segment.</t>
  </si>
  <si>
    <t xml:space="preserve">Access overrides</t>
  </si>
  <si>
    <t xml:space="preserve">Each states its reason on the IA sheet.</t>
  </si>
  <si>
    <t xml:space="preserve">OTHER SHEETS</t>
  </si>
  <si>
    <t xml:space="preserve">Pop-ups built</t>
  </si>
  <si>
    <t xml:space="preserve">Pop-ups deliberately none</t>
  </si>
  <si>
    <t xml:space="preserve">Pop-ups to build</t>
  </si>
  <si>
    <t xml:space="preserve">Notifications firing today</t>
  </si>
  <si>
    <t xml:space="preserve">Notifications to build</t>
  </si>
  <si>
    <t xml:space="preserve">Emails live</t>
  </si>
  <si>
    <t xml:space="preserve">Emails to build</t>
  </si>
  <si>
    <t xml:space="preserve">Open gaps</t>
  </si>
  <si>
    <t xml:space="preserve">Decisions awaiting you</t>
  </si>
  <si>
    <t xml:space="preserve">Assets outstanding</t>
  </si>
  <si>
    <t xml:space="preserve">Domain constituents</t>
  </si>
  <si>
    <t xml:space="preserve">— backed by ratified object/field</t>
  </si>
  <si>
    <t xml:space="preserve">— derived or executable law</t>
  </si>
  <si>
    <t xml:space="preserve">— registered gaps (§33 queue)</t>
  </si>
  <si>
    <t xml:space="preserve">— out of scope by direction</t>
  </si>
  <si>
    <t xml:space="preserve">Information Architecture</t>
  </si>
  <si>
    <t xml:space="preserve">Every URL in the system. Extracted from constants/routes.ts; Status read from the generated page file on disk. Nothing else in the platform holds a URL — a path not on this sheet does not exist.</t>
  </si>
  <si>
    <t xml:space="preserve">Path</t>
  </si>
  <si>
    <t xml:space="preserve">Name</t>
  </si>
  <si>
    <t xml:space="preserve">Group</t>
  </si>
  <si>
    <t xml:space="preserve">Vantage</t>
  </si>
  <si>
    <t xml:space="preserve">Access</t>
  </si>
  <si>
    <t xml:space="preserve">Assembly</t>
  </si>
  <si>
    <t xml:space="preserve">Assembly Name</t>
  </si>
  <si>
    <t xml:space="preserve">Status</t>
  </si>
  <si>
    <t xml:space="preserve">Rendered By</t>
  </si>
  <si>
    <t xml:space="preserve">Module</t>
  </si>
  <si>
    <t xml:space="preserve">Rights</t>
  </si>
  <si>
    <t xml:space="preserve">Params</t>
  </si>
  <si>
    <t xml:space="preserve">Access Override — why</t>
  </si>
  <si>
    <t xml:space="preserve">Notes</t>
  </si>
  <si>
    <t xml:space="preserve">/</t>
  </si>
  <si>
    <t xml:space="preserve">Home</t>
  </si>
  <si>
    <t xml:space="preserve">yes</t>
  </si>
  <si>
    <t xml:space="preserve">AS-32</t>
  </si>
  <si>
    <t xml:space="preserve">The Public Surface</t>
  </si>
  <si>
    <t xml:space="preserve">Root</t>
  </si>
  <si>
    <t xml:space="preserve">publicpages</t>
  </si>
  <si>
    <t xml:space="preserve">Hero region, then routes into the collection. No figure above the fold.</t>
  </si>
  <si>
    <t xml:space="preserve">/403</t>
  </si>
  <si>
    <t xml:space="preserve">Not Permitted</t>
  </si>
  <si>
    <t xml:space="preserve">AS-16</t>
  </si>
  <si>
    <t xml:space="preserve">Signal Lost</t>
  </si>
  <si>
    <t xml:space="preserve">Surface (registry scaffold)</t>
  </si>
  <si>
    <t xml:space="preserve">Says the viewer may not see it. Never says whether it EXISTS — that distinction leaks the shape of the system to anyone probing it.</t>
  </si>
  <si>
    <t xml:space="preserve">/404</t>
  </si>
  <si>
    <t xml:space="preserve">Not Found</t>
  </si>
  <si>
    <t xml:space="preserve">No stack trace, no exception name, no auto-redirect. [extract] No page.tsx: Next.js serves this from app/not-found.tsx / app/error.tsx by convention.</t>
  </si>
  <si>
    <t xml:space="preserve">/500</t>
  </si>
  <si>
    <t xml:space="preserve">System Error</t>
  </si>
  <si>
    <t xml:space="preserve">[extract] No page.tsx: Next.js serves this from app/not-found.tsx / app/error.tsx by convention.</t>
  </si>
  <si>
    <t xml:space="preserve">/answers</t>
  </si>
  <si>
    <t xml:space="preserve">Answers</t>
  </si>
  <si>
    <t xml:space="preserve">AS-17</t>
  </si>
  <si>
    <t xml:space="preserve">The Knowledge Base</t>
  </si>
  <si>
    <t xml:space="preserve">gatewaypages</t>
  </si>
  <si>
    <t xml:space="preserve">/auth/sign-in</t>
  </si>
  <si>
    <t xml:space="preserve">Identify</t>
  </si>
  <si>
    <t xml:space="preserve">No password is ever handled by the design system. Delegated.</t>
  </si>
  <si>
    <t xml:space="preserve">/auth/sign-out</t>
  </si>
  <si>
    <t xml:space="preserve">Sign Out</t>
  </si>
  <si>
    <t xml:space="preserve">/auth/verify</t>
  </si>
  <si>
    <t xml:space="preserve">Verify</t>
  </si>
  <si>
    <t xml:space="preserve">The token arrives as a QUERY parameter, not a path segment, and it is not declared as a param for that reason. It is in the URL at all only because an email link has no other carrier — so it is single-use, short-lived, and stripped from the address bar on arrival. A URL is written to server logs, browser history and referrer headers.</t>
  </si>
  <si>
    <t xml:space="preserve">/collection</t>
  </si>
  <si>
    <t xml:space="preserve">The Collection</t>
  </si>
  <si>
    <t xml:space="preserve">AS-01</t>
  </si>
  <si>
    <t xml:space="preserve">The Gateway Grid</t>
  </si>
  <si>
    <t xml:space="preserve">GatewayGrid</t>
  </si>
  <si>
    <t xml:space="preserve">/collective/gallery</t>
  </si>
  <si>
    <t xml:space="preserve">The Evidence Portfolio</t>
  </si>
  <si>
    <t xml:space="preserve">Evidence</t>
  </si>
  <si>
    <t xml:space="preserve">PUB.08. Ships empty: every plate must say whether it is a photograph, a render or a drawing, and a portfolio of renders shown as photographs is the commonest misrepresentation in this industry. /gallery (AS-09) is a property gallery and is a different thing; both are retained.</t>
  </si>
  <si>
    <t xml:space="preserve">/collective/operators</t>
  </si>
  <si>
    <t xml:space="preserve">The Operators</t>
  </si>
  <si>
    <t xml:space="preserve">Operators</t>
  </si>
  <si>
    <t xml:space="preserve">PUB.06 — what runs a property, and who is accountable when it does not.</t>
  </si>
  <si>
    <t xml:space="preserve">/collective/partners</t>
  </si>
  <si>
    <t xml:space="preserve">The Foundation</t>
  </si>
  <si>
    <t xml:space="preserve">Partners</t>
  </si>
  <si>
    <t xml:space="preserve">PUB.05 — the independent firms. Ships with functions stated and holders withheld until each engagement is recorded against the vehicle it serves.</t>
  </si>
  <si>
    <t xml:space="preserve">/collective/press</t>
  </si>
  <si>
    <t xml:space="preserve">The Wire</t>
  </si>
  <si>
    <t xml:space="preserve">Wire</t>
  </si>
  <si>
    <t xml:space="preserve">PUB.10 — external coverage. Ships empty and says so; the wireframe's six clippings were quotes attributed to real publications that have not published them.</t>
  </si>
  <si>
    <t xml:space="preserve">/communique/request</t>
  </si>
  <si>
    <t xml:space="preserve">Request the Dossier</t>
  </si>
  <si>
    <t xml:space="preserve">Dossier</t>
  </si>
  <si>
    <t xml:space="preserve">PUB.07 — the intelligence pack. What requesting it creates is stated above the form.</t>
  </si>
  <si>
    <t xml:space="preserve">/gallery</t>
  </si>
  <si>
    <t xml:space="preserve">Gallery</t>
  </si>
  <si>
    <t xml:space="preserve">AS-09</t>
  </si>
  <si>
    <t xml:space="preserve">The Gallery Frame</t>
  </si>
  <si>
    <t xml:space="preserve">/how-it-works</t>
  </si>
  <si>
    <t xml:space="preserve">How It Works</t>
  </si>
  <si>
    <t xml:space="preserve">HowItWorks</t>
  </si>
  <si>
    <t xml:space="preserve">PUB.02 / PUB.11 — the doctrine, then a hard cut to the arithmetic. Distinct from /how-capital-works, which is the waterfall itself rather than the argument for it.</t>
  </si>
  <si>
    <t xml:space="preserve">/journal</t>
  </si>
  <si>
    <t xml:space="preserve">The Journal</t>
  </si>
  <si>
    <t xml:space="preserve">AS-30</t>
  </si>
  <si>
    <t xml:space="preserve">JournalIndex</t>
  </si>
  <si>
    <t xml:space="preserve">documents</t>
  </si>
  <si>
    <t xml:space="preserve">Index. Entries newest first; the order is checked at load.</t>
  </si>
  <si>
    <t xml:space="preserve">/journal/[slug]</t>
  </si>
  <si>
    <t xml:space="preserve">Journal Entry</t>
  </si>
  <si>
    <t xml:space="preserve">JournalEntry</t>
  </si>
  <si>
    <t xml:space="preserve">slug</t>
  </si>
  <si>
    <t xml:space="preserve">One entry. Figures are read from the registries, never typed into the prose.</t>
  </si>
  <si>
    <t xml:space="preserve">/legal</t>
  </si>
  <si>
    <t xml:space="preserve">Legal</t>
  </si>
  <si>
    <t xml:space="preserve">AS-29</t>
  </si>
  <si>
    <t xml:space="preserve">The Standing Document</t>
  </si>
  <si>
    <t xml:space="preserve">DocumentIndex</t>
  </si>
  <si>
    <t xml:space="preserve">Index of the standing documents.</t>
  </si>
  <si>
    <t xml:space="preserve">/legal/accessibility</t>
  </si>
  <si>
    <t xml:space="preserve">Accessibility Statement</t>
  </si>
  <si>
    <t xml:space="preserve">StandingDoc</t>
  </si>
  <si>
    <t xml:space="preserve">States what has been tested and what has not. Currently: contrast computed, no assistive-technology testing performed.</t>
  </si>
  <si>
    <t xml:space="preserve">/legal/complaints</t>
  </si>
  <si>
    <t xml:space="preserve">Complaints Procedure</t>
  </si>
  <si>
    <t xml:space="preserve">/legal/cookies</t>
  </si>
  <si>
    <t xml:space="preserve">Cookie Notice</t>
  </si>
  <si>
    <t xml:space="preserve">/legal/disclosures</t>
  </si>
  <si>
    <t xml:space="preserve">Standing Disclosures</t>
  </si>
  <si>
    <t xml:space="preserve">Capital at risk, past performance, no guarantee. Body size, reading tone.</t>
  </si>
  <si>
    <t xml:space="preserve">/legal/privacy</t>
  </si>
  <si>
    <t xml:space="preserve">Privacy Notice</t>
  </si>
  <si>
    <t xml:space="preserve">/legal/terms</t>
  </si>
  <si>
    <t xml:space="preserve">Terms and Conditions</t>
  </si>
  <si>
    <t xml:space="preserve">/maintenance</t>
  </si>
  <si>
    <t xml:space="preserve">Maintenance</t>
  </si>
  <si>
    <t xml:space="preserve">AS-15</t>
  </si>
  <si>
    <t xml:space="preserve">System Status</t>
  </si>
  <si>
    <t xml:space="preserve">/portfolio</t>
  </si>
  <si>
    <t xml:space="preserve">The Portfolio</t>
  </si>
  <si>
    <t xml:space="preserve">AS-07</t>
  </si>
  <si>
    <t xml:space="preserve">The Portfolio Narrative</t>
  </si>
  <si>
    <t xml:space="preserve">Portfolio</t>
  </si>
  <si>
    <t xml:space="preserve">/roles</t>
  </si>
  <si>
    <t xml:space="preserve">Open Roles</t>
  </si>
  <si>
    <t xml:space="preserve">AS-18</t>
  </si>
  <si>
    <t xml:space="preserve">Recruitment</t>
  </si>
  <si>
    <t xml:space="preserve">Roles</t>
  </si>
  <si>
    <t xml:space="preserve">/roles/[code]</t>
  </si>
  <si>
    <t xml:space="preserve">Role</t>
  </si>
  <si>
    <t xml:space="preserve">RoleDetail</t>
  </si>
  <si>
    <t xml:space="preserve">code</t>
  </si>
  <si>
    <t xml:space="preserve">/search</t>
  </si>
  <si>
    <t xml:space="preserve">Search</t>
  </si>
  <si>
    <t xml:space="preserve">no</t>
  </si>
  <si>
    <t xml:space="preserve">Results are scoped to what the viewer may see, which requires knowing who they are. An anonymous search would either return nothing or leak the index.</t>
  </si>
  <si>
    <t xml:space="preserve">/signal</t>
  </si>
  <si>
    <t xml:space="preserve">The Signal</t>
  </si>
  <si>
    <t xml:space="preserve">Signal</t>
  </si>
  <si>
    <t xml:space="preserve">PUB.09 — the weekly transmission. No tuner gate; the form is simply present.</t>
  </si>
  <si>
    <t xml:space="preserve">/space</t>
  </si>
  <si>
    <t xml:space="preserve">Space</t>
  </si>
  <si>
    <t xml:space="preserve">The physical product: what is built, from what, and what it takes to keep standing.</t>
  </si>
  <si>
    <t xml:space="preserve">/status</t>
  </si>
  <si>
    <t xml:space="preserve">/story</t>
  </si>
  <si>
    <t xml:space="preserve">Story</t>
  </si>
  <si>
    <t xml:space="preserve">AS-08</t>
  </si>
  <si>
    <t xml:space="preserve">The Story Playback</t>
  </si>
  <si>
    <t xml:space="preserve">/structure</t>
  </si>
  <si>
    <t xml:space="preserve">The Vehicle</t>
  </si>
  <si>
    <t xml:space="preserve">Structure</t>
  </si>
  <si>
    <t xml:space="preserve">From the PUB.01 footer, which calls it SPV Structure. The constitutional default is an LLP; an SPV needs Board approval per property, and the page says so.</t>
  </si>
  <si>
    <t xml:space="preserve">/time</t>
  </si>
  <si>
    <t xml:space="preserve">Time</t>
  </si>
  <si>
    <t xml:space="preserve">Entitlement: what it is, what it is not, and when it begins. The wireframe's exchange console is stated as unbuilt rather than described as though it exists.</t>
  </si>
  <si>
    <t xml:space="preserve">/voices</t>
  </si>
  <si>
    <t xml:space="preserve">Voices</t>
  </si>
  <si>
    <t xml:space="preserve">AS-24</t>
  </si>
  <si>
    <t xml:space="preserve">Testimonials</t>
  </si>
  <si>
    <t xml:space="preserve">Testimonials. No figure, no return, no performance reference — regulated speech.</t>
  </si>
  <si>
    <t xml:space="preserve">/collection/[property]</t>
  </si>
  <si>
    <t xml:space="preserve">Property</t>
  </si>
  <si>
    <t xml:space="preserve">AS-03</t>
  </si>
  <si>
    <t xml:space="preserve">The Property Masthead</t>
  </si>
  <si>
    <t xml:space="preserve">PropertyMasthead</t>
  </si>
  <si>
    <t xml:space="preserve">property</t>
  </si>
  <si>
    <t xml:space="preserve">/collection/[property]/capital</t>
  </si>
  <si>
    <t xml:space="preserve">Capital</t>
  </si>
  <si>
    <t xml:space="preserve">The Capital LENS at the space vantage. Renders AP-03 and routes to the console; it does not render console disclosure because a tab is labelled Capital.</t>
  </si>
  <si>
    <t xml:space="preserve">/collection/[property]/gallery</t>
  </si>
  <si>
    <t xml:space="preserve">AS-10</t>
  </si>
  <si>
    <t xml:space="preserve">The Gallery Strip</t>
  </si>
  <si>
    <t xml:space="preserve">/collection/[property]/location</t>
  </si>
  <si>
    <t xml:space="preserve">Location</t>
  </si>
  <si>
    <t xml:space="preserve">AS-12</t>
  </si>
  <si>
    <t xml:space="preserve">Location Intelligence</t>
  </si>
  <si>
    <t xml:space="preserve">/collection/[property]/space</t>
  </si>
  <si>
    <t xml:space="preserve">/collection/[property]/time</t>
  </si>
  <si>
    <t xml:space="preserve">/flow</t>
  </si>
  <si>
    <t xml:space="preserve">SlowSpace Coastal</t>
  </si>
  <si>
    <t xml:space="preserve">Offering</t>
  </si>
  <si>
    <t xml:space="preserve">flow</t>
  </si>
  <si>
    <t xml:space="preserve">Step 1 of 5. The offering at the space vantage: capital stack, six-stage waterfall, governance and programme, each carrying its confidence class.</t>
  </si>
  <si>
    <t xml:space="preserve">/capital</t>
  </si>
  <si>
    <t xml:space="preserve">Capital Console</t>
  </si>
  <si>
    <t xml:space="preserve">AS-02</t>
  </si>
  <si>
    <t xml:space="preserve">The Property Console</t>
  </si>
  <si>
    <t xml:space="preserve">portfolio.manage</t>
  </si>
  <si>
    <t xml:space="preserve">/capital/calls</t>
  </si>
  <si>
    <t xml:space="preserve">Capital Calls</t>
  </si>
  <si>
    <t xml:space="preserve">AS-26</t>
  </si>
  <si>
    <t xml:space="preserve">The Capital Call</t>
  </si>
  <si>
    <t xml:space="preserve">capital.call</t>
  </si>
  <si>
    <t xml:space="preserve">/capital/distributions</t>
  </si>
  <si>
    <t xml:space="preserve">Distributions</t>
  </si>
  <si>
    <t xml:space="preserve">distribution.execute</t>
  </si>
  <si>
    <t xml:space="preserve">/capital/distributions/[ref]</t>
  </si>
  <si>
    <t xml:space="preserve">Distribution</t>
  </si>
  <si>
    <t xml:space="preserve">ref</t>
  </si>
  <si>
    <t xml:space="preserve">/capital/offerings</t>
  </si>
  <si>
    <t xml:space="preserve">Offerings</t>
  </si>
  <si>
    <t xml:space="preserve">offering.open</t>
  </si>
  <si>
    <t xml:space="preserve">/capital/properties</t>
  </si>
  <si>
    <t xml:space="preserve">Properties</t>
  </si>
  <si>
    <t xml:space="preserve">/capital/properties/[id]</t>
  </si>
  <si>
    <t xml:space="preserve">Property Console</t>
  </si>
  <si>
    <t xml:space="preserve">id</t>
  </si>
  <si>
    <t xml:space="preserve">/capital/properties/[id]/programme</t>
  </si>
  <si>
    <t xml:space="preserve">Programme</t>
  </si>
  <si>
    <t xml:space="preserve">AS-11</t>
  </si>
  <si>
    <t xml:space="preserve">The Stage Progression</t>
  </si>
  <si>
    <t xml:space="preserve">property.advance_lifecycle</t>
  </si>
  <si>
    <t xml:space="preserve">/capital/properties/[id]/valuations</t>
  </si>
  <si>
    <t xml:space="preserve">Valuations</t>
  </si>
  <si>
    <t xml:space="preserve">valuation.record</t>
  </si>
  <si>
    <t xml:space="preserve">/capital/risk</t>
  </si>
  <si>
    <t xml:space="preserve">Risk Register</t>
  </si>
  <si>
    <t xml:space="preserve">AS-28</t>
  </si>
  <si>
    <t xml:space="preserve">The Risk Register</t>
  </si>
  <si>
    <t xml:space="preserve">compliance.record</t>
  </si>
  <si>
    <t xml:space="preserve">/capital/waterfall</t>
  </si>
  <si>
    <t xml:space="preserve">Waterfall</t>
  </si>
  <si>
    <t xml:space="preserve">AS-04</t>
  </si>
  <si>
    <t xml:space="preserve">The Capital Explainer</t>
  </si>
  <si>
    <t xml:space="preserve">CapitalExplainer</t>
  </si>
  <si>
    <t xml:space="preserve">/commit/[offering]</t>
  </si>
  <si>
    <t xml:space="preserve">Commit</t>
  </si>
  <si>
    <t xml:space="preserve">AS-06</t>
  </si>
  <si>
    <t xml:space="preserve">The Commitment Flow</t>
  </si>
  <si>
    <t xml:space="preserve">offering</t>
  </si>
  <si>
    <t xml:space="preserve">An Investor commits BEFORE membership exists — the Member Law fires on settlement, not here. Requiring member access would make it unreachable by anyone who could use it.</t>
  </si>
  <si>
    <t xml:space="preserve">/commit/[offering]/execute</t>
  </si>
  <si>
    <t xml:space="preserve">Execute</t>
  </si>
  <si>
    <t xml:space="preserve">AS-19</t>
  </si>
  <si>
    <t xml:space="preserve">The Ledger Lock</t>
  </si>
  <si>
    <t xml:space="preserve">The execution sequence for a commitment made before membership exists.</t>
  </si>
  <si>
    <t xml:space="preserve">/commit/[offering]/risk</t>
  </si>
  <si>
    <t xml:space="preserve">Risk Disclosure</t>
  </si>
  <si>
    <t xml:space="preserve">AS-14</t>
  </si>
  <si>
    <t xml:space="preserve">The Risk Disclosure</t>
  </si>
  <si>
    <t xml:space="preserve">The gate immediately before commitment, on the same path and for the same reason.</t>
  </si>
  <si>
    <t xml:space="preserve">/flow/commit</t>
  </si>
  <si>
    <t xml:space="preserve">A worked demonstration of the whole arc, on illustrative data for a fictional partner rather than a real position. Public because the point is that a prospective investor can see every step - including the accreditation and disclosure they would meet later - before committing to any of it.</t>
  </si>
  <si>
    <t xml:space="preserve">Step 4. The piston, 3000ms linear. States Committed, never Member.</t>
  </si>
  <si>
    <t xml:space="preserve">/flow/risk</t>
  </si>
  <si>
    <t xml:space="preserve">RiskDisclosure</t>
  </si>
  <si>
    <t xml:space="preserve">Step 3. Seven clauses in severity order, on paper. The gate opens on reaching the end by any route.</t>
  </si>
  <si>
    <t xml:space="preserve">/how-capital-works</t>
  </si>
  <si>
    <t xml:space="preserve">How Capital Works</t>
  </si>
  <si>
    <t xml:space="preserve">The waterfall explainer is the single most important thing a prospective investor can read before committing, and putting it behind a sign-in would mean the disclosure only reaches people who have already decided.</t>
  </si>
  <si>
    <t xml:space="preserve">/legal/risk-disclosure</t>
  </si>
  <si>
    <t xml:space="preserve">It gates commitment, and it is also the document a prospective investor most needs to read before deciding whether to start. Public to read; the ACKNOWLEDGEMENT still requires identity and is recorded against a version.</t>
  </si>
  <si>
    <t xml:space="preserve">/member/entitlement</t>
  </si>
  <si>
    <t xml:space="preserve">Entitlement</t>
  </si>
  <si>
    <t xml:space="preserve">AS-25</t>
  </si>
  <si>
    <t xml:space="preserve">The Time Ledger</t>
  </si>
  <si>
    <t xml:space="preserve">/member/entitlement/[year]</t>
  </si>
  <si>
    <t xml:space="preserve">Entitlement Year</t>
  </si>
  <si>
    <t xml:space="preserve">year</t>
  </si>
  <si>
    <t xml:space="preserve">/flow/accreditation</t>
  </si>
  <si>
    <t xml:space="preserve">Accreditation</t>
  </si>
  <si>
    <t xml:space="preserve">Step 2. PR-01, resumable - each field saves on blur to a draft record.</t>
  </si>
  <si>
    <t xml:space="preserve">/flow/settled</t>
  </si>
  <si>
    <t xml:space="preserve">Settled</t>
  </si>
  <si>
    <t xml:space="preserve">Step 5. The first screen where the Member Law has fired.</t>
  </si>
  <si>
    <t xml:space="preserve">/member</t>
  </si>
  <si>
    <t xml:space="preserve">Your Position</t>
  </si>
  <si>
    <t xml:space="preserve">AS-05</t>
  </si>
  <si>
    <t xml:space="preserve">The Member Console</t>
  </si>
  <si>
    <t xml:space="preserve">/member/calibration</t>
  </si>
  <si>
    <t xml:space="preserve">Unit Calibration</t>
  </si>
  <si>
    <t xml:space="preserve">AS-33</t>
  </si>
  <si>
    <t xml:space="preserve">The Member Surface</t>
  </si>
  <si>
    <t xml:space="preserve">Calibration</t>
  </si>
  <si>
    <t xml:space="preserve">memberpages</t>
  </si>
  <si>
    <t xml:space="preserve">MEM.05. Every control is real and none can be transmitted: the property is at pre-construction, so there is no management system to reach.</t>
  </si>
  <si>
    <t xml:space="preserve">/member/calls</t>
  </si>
  <si>
    <t xml:space="preserve">/member/calls/[ref]</t>
  </si>
  <si>
    <t xml:space="preserve">Capital Call</t>
  </si>
  <si>
    <t xml:space="preserve">Default consequences render in full above the payment control.</t>
  </si>
  <si>
    <t xml:space="preserve">/member/codex</t>
  </si>
  <si>
    <t xml:space="preserve">The Codex</t>
  </si>
  <si>
    <t xml:space="preserve">Codex</t>
  </si>
  <si>
    <t xml:space="preserve">MEM.07. The manual for one property. The conduct-linked forced buyback the source specifies is marked as not drafted and not in force.</t>
  </si>
  <si>
    <t xml:space="preserve">/member/distributions</t>
  </si>
  <si>
    <t xml:space="preserve">/member/distributions/[ref]</t>
  </si>
  <si>
    <t xml:space="preserve">/member/documents</t>
  </si>
  <si>
    <t xml:space="preserve">Documents</t>
  </si>
  <si>
    <t xml:space="preserve">/member/documents/[id]</t>
  </si>
  <si>
    <t xml:space="preserve">Document</t>
  </si>
  <si>
    <t xml:space="preserve">/member/holdings</t>
  </si>
  <si>
    <t xml:space="preserve">Holdings</t>
  </si>
  <si>
    <t xml:space="preserve">/member/holdings/[property]</t>
  </si>
  <si>
    <t xml:space="preserve">Holding</t>
  </si>
  <si>
    <t xml:space="preserve">/member/notifications</t>
  </si>
  <si>
    <t xml:space="preserve">Notifications</t>
  </si>
  <si>
    <t xml:space="preserve">The alert centre. A system ticker (SIGNAL_APERTURE) never lands here; only things asked of the member do.</t>
  </si>
  <si>
    <t xml:space="preserve">/member/pass</t>
  </si>
  <si>
    <t xml:space="preserve">Access Credentials</t>
  </si>
  <si>
    <t xml:space="preserve">Pass</t>
  </si>
  <si>
    <t xml:space="preserve">MEM.08. Issuing spends your nights and puts the visitor's conduct on your record.</t>
  </si>
  <si>
    <t xml:space="preserve">/member/position</t>
  </si>
  <si>
    <t xml:space="preserve">Position</t>
  </si>
  <si>
    <t xml:space="preserve">/member/profile</t>
  </si>
  <si>
    <t xml:space="preserve">Passport</t>
  </si>
  <si>
    <t xml:space="preserve">/member/reports</t>
  </si>
  <si>
    <t xml:space="preserve">Reports</t>
  </si>
  <si>
    <t xml:space="preserve">/member/resolutions</t>
  </si>
  <si>
    <t xml:space="preserve">Resolutions</t>
  </si>
  <si>
    <t xml:space="preserve">Boardroom</t>
  </si>
  <si>
    <t xml:space="preserve">/member/resolutions/[ref]</t>
  </si>
  <si>
    <t xml:space="preserve">Ballot</t>
  </si>
  <si>
    <t xml:space="preserve">AS-27</t>
  </si>
  <si>
    <t xml:space="preserve">The Ballot</t>
  </si>
  <si>
    <t xml:space="preserve">Sealed at every vantage. The confirmation never echoes the choice.</t>
  </si>
  <si>
    <t xml:space="preserve">/member/settings</t>
  </si>
  <si>
    <t xml:space="preserve">Settings</t>
  </si>
  <si>
    <t xml:space="preserve">/member/settings/notifications</t>
  </si>
  <si>
    <t xml:space="preserve">Notification Settings</t>
  </si>
  <si>
    <t xml:space="preserve">/member/settings/security</t>
  </si>
  <si>
    <t xml:space="preserve">Security</t>
  </si>
  <si>
    <t xml:space="preserve">/member/settings/tax</t>
  </si>
  <si>
    <t xml:space="preserve">Tax Details</t>
  </si>
  <si>
    <t xml:space="preserve">/member/signal</t>
  </si>
  <si>
    <t xml:space="preserve">SignalLog</t>
  </si>
  <si>
    <t xml:space="preserve">MEM.06. A written, asynchronous record with the operating partner. No presence indicator and no typing state — both promise an immediacy the queue does not have.</t>
  </si>
  <si>
    <t xml:space="preserve">/passport</t>
  </si>
  <si>
    <t xml:space="preserve">Your Passport</t>
  </si>
  <si>
    <t xml:space="preserve">The passport is how someone BECOMES a member. Requiring membership to reach it would close the only door into the system.</t>
  </si>
  <si>
    <t xml:space="preserve">/passport/accreditation</t>
  </si>
  <si>
    <t xml:space="preserve">Passport · accreditation</t>
  </si>
  <si>
    <t xml:space="preserve">Accreditation is reached before membership exists, by definition — the Member Law fires on settlement, and settlement cannot happen until accreditation has. Requiring member access here would close the only door into the system.</t>
  </si>
  <si>
    <t xml:space="preserve">/passport/address</t>
  </si>
  <si>
    <t xml:space="preserve">Passport · address</t>
  </si>
  <si>
    <t xml:space="preserve">/passport/annual-review</t>
  </si>
  <si>
    <t xml:space="preserve">Passport · annual review</t>
  </si>
  <si>
    <t xml:space="preserve">/passport/decision</t>
  </si>
  <si>
    <t xml:space="preserve">Passport · decision</t>
  </si>
  <si>
    <t xml:space="preserve">/passport/discover</t>
  </si>
  <si>
    <t xml:space="preserve">Passport · discover</t>
  </si>
  <si>
    <t xml:space="preserve">Stage 1 of 16. Resumable — each field autosaves on blur to a draft record, which is what makes PR-01 genuinely resumable rather than a second mechanism.</t>
  </si>
  <si>
    <t xml:space="preserve">/passport/documents</t>
  </si>
  <si>
    <t xml:space="preserve">Passport · documents</t>
  </si>
  <si>
    <t xml:space="preserve">/passport/eligibility</t>
  </si>
  <si>
    <t xml:space="preserve">Passport · eligibility</t>
  </si>
  <si>
    <t xml:space="preserve">/passport/identity</t>
  </si>
  <si>
    <t xml:space="preserve">Passport · identity</t>
  </si>
  <si>
    <t xml:space="preserve">/passport/issued</t>
  </si>
  <si>
    <t xml:space="preserve">Passport · issued</t>
  </si>
  <si>
    <t xml:space="preserve">/passport/profile</t>
  </si>
  <si>
    <t xml:space="preserve">Passport · profile</t>
  </si>
  <si>
    <t xml:space="preserve">/passport/review</t>
  </si>
  <si>
    <t xml:space="preserve">Passport · review</t>
  </si>
  <si>
    <t xml:space="preserve">/passport/risk-profile</t>
  </si>
  <si>
    <t xml:space="preserve">Passport · risk profile</t>
  </si>
  <si>
    <t xml:space="preserve">/passport/screening</t>
  </si>
  <si>
    <t xml:space="preserve">Passport · screening</t>
  </si>
  <si>
    <t xml:space="preserve">/passport/source-of-funds</t>
  </si>
  <si>
    <t xml:space="preserve">Passport · source of funds</t>
  </si>
  <si>
    <t xml:space="preserve">/passport/suitability</t>
  </si>
  <si>
    <t xml:space="preserve">Passport · suitability</t>
  </si>
  <si>
    <t xml:space="preserve">/passport/tax-residency</t>
  </si>
  <si>
    <t xml:space="preserve">Passport · tax residency</t>
  </si>
  <si>
    <t xml:space="preserve">/admin</t>
  </si>
  <si>
    <t xml:space="preserve">Administration</t>
  </si>
  <si>
    <t xml:space="preserve">organization.register</t>
  </si>
  <si>
    <t xml:space="preserve">/admin/authority</t>
  </si>
  <si>
    <t xml:space="preserve">Authority</t>
  </si>
  <si>
    <t xml:space="preserve">authority.grant</t>
  </si>
  <si>
    <t xml:space="preserve">/admin/authority/grants</t>
  </si>
  <si>
    <t xml:space="preserve">Grants</t>
  </si>
  <si>
    <t xml:space="preserve">/admin/authority/revocations</t>
  </si>
  <si>
    <t xml:space="preserve">Revocations</t>
  </si>
  <si>
    <t xml:space="preserve">authority.revoke</t>
  </si>
  <si>
    <t xml:space="preserve">/admin/compliance</t>
  </si>
  <si>
    <t xml:space="preserve">Compliance</t>
  </si>
  <si>
    <t xml:space="preserve">/admin/compliance/accreditation</t>
  </si>
  <si>
    <t xml:space="preserve">Accreditation Queue</t>
  </si>
  <si>
    <t xml:space="preserve">accreditation.grant</t>
  </si>
  <si>
    <t xml:space="preserve">/admin/compliance/conflicts</t>
  </si>
  <si>
    <t xml:space="preserve">Conflict Register</t>
  </si>
  <si>
    <t xml:space="preserve">conflict.disclose</t>
  </si>
  <si>
    <t xml:space="preserve">/admin/compliance/events</t>
  </si>
  <si>
    <t xml:space="preserve">Compliance Events</t>
  </si>
  <si>
    <t xml:space="preserve">/admin/content</t>
  </si>
  <si>
    <t xml:space="preserve">Content</t>
  </si>
  <si>
    <t xml:space="preserve">AS-34</t>
  </si>
  <si>
    <t xml:space="preserve">The Admin Surface</t>
  </si>
  <si>
    <t xml:space="preserve">ContentAdmin</t>
  </si>
  <si>
    <t xml:space="preserve">adminpages</t>
  </si>
  <si>
    <t xml:space="preserve">content.publish</t>
  </si>
  <si>
    <t xml:space="preserve">Every content class, its source, whether it binds and whether it is versioned.</t>
  </si>
  <si>
    <t xml:space="preserve">/admin/failure</t>
  </si>
  <si>
    <t xml:space="preserve">Constitutional Failure</t>
  </si>
  <si>
    <t xml:space="preserve">constitutional_failure.declare</t>
  </si>
  <si>
    <t xml:space="preserve">CF-01..CF-06. The gravest surface in the system and the least used. Declaring a failure requires a resolution reference, not a role — there is no login that can do this alone.</t>
  </si>
  <si>
    <t xml:space="preserve">/admin/governance</t>
  </si>
  <si>
    <t xml:space="preserve">Governance</t>
  </si>
  <si>
    <t xml:space="preserve">resolution.table</t>
  </si>
  <si>
    <t xml:space="preserve">/admin/governance/committees</t>
  </si>
  <si>
    <t xml:space="preserve">Committees</t>
  </si>
  <si>
    <t xml:space="preserve">committee.constitute</t>
  </si>
  <si>
    <t xml:space="preserve">/admin/governance/policies</t>
  </si>
  <si>
    <t xml:space="preserve">Policies</t>
  </si>
  <si>
    <t xml:space="preserve">policy.approve</t>
  </si>
  <si>
    <t xml:space="preserve">/admin/governance/resolutions</t>
  </si>
  <si>
    <t xml:space="preserve">/admin/governance/resolutions/[ref]</t>
  </si>
  <si>
    <t xml:space="preserve">Resolution</t>
  </si>
  <si>
    <t xml:space="preserve">resolution.resolve</t>
  </si>
  <si>
    <t xml:space="preserve">Results only. Admin is NOT an exception to I-05 — it is the vantage most likely to assume it is.</t>
  </si>
  <si>
    <t xml:space="preserve">/admin/ledger</t>
  </si>
  <si>
    <t xml:space="preserve">Ledger</t>
  </si>
  <si>
    <t xml:space="preserve">capital.deploy</t>
  </si>
  <si>
    <t xml:space="preserve">/admin/media</t>
  </si>
  <si>
    <t xml:space="preserve">Media</t>
  </si>
  <si>
    <t xml:space="preserve">MediaAdmin</t>
  </si>
  <si>
    <t xml:space="preserve">media.manage</t>
  </si>
  <si>
    <t xml:space="preserve">Three kinds, required at registration with no default. A render registered as a photograph is a misrepresentation that needs no words.</t>
  </si>
  <si>
    <t xml:space="preserve">/admin/reports</t>
  </si>
  <si>
    <t xml:space="preserve">report.publish</t>
  </si>
  <si>
    <t xml:space="preserve">/admin/research</t>
  </si>
  <si>
    <t xml:space="preserve">Research</t>
  </si>
  <si>
    <t xml:space="preserve">diligence.complete</t>
  </si>
  <si>
    <t xml:space="preserve">/admin/telemetry</t>
  </si>
  <si>
    <t xml:space="preserve">Telemetry</t>
  </si>
  <si>
    <t xml:space="preserve">/admin/vehicles</t>
  </si>
  <si>
    <t xml:space="preserve">Vehicles</t>
  </si>
  <si>
    <t xml:space="preserve">AS-13</t>
  </si>
  <si>
    <t xml:space="preserve">The LLP Docket</t>
  </si>
  <si>
    <t xml:space="preserve">vehicle.form</t>
  </si>
  <si>
    <t xml:space="preserve">/admin/vehicles/[llpin]</t>
  </si>
  <si>
    <t xml:space="preserve">Docket</t>
  </si>
  <si>
    <t xml:space="preserve">llpin</t>
  </si>
  <si>
    <t xml:space="preserve">/admin/vehicles/[llpin]/audit</t>
  </si>
  <si>
    <t xml:space="preserve">Docket Audit</t>
  </si>
  <si>
    <t xml:space="preserve">/admin/vehicles/[llpin]/charges</t>
  </si>
  <si>
    <t xml:space="preserve">Charges</t>
  </si>
  <si>
    <t xml:space="preserve">/admin/vehicles/[llpin]/filings</t>
  </si>
  <si>
    <t xml:space="preserve">Statutory Calendar</t>
  </si>
  <si>
    <t xml:space="preserve">/admin/vehicles/[llpin]/formation</t>
  </si>
  <si>
    <t xml:space="preserve">Formation</t>
  </si>
  <si>
    <t xml:space="preserve">/admin/vehicles/[llpin]/partners</t>
  </si>
  <si>
    <t xml:space="preserve">Register of Partners</t>
  </si>
  <si>
    <t xml:space="preserve">/admin/vehicles/[llpin]/resolutions</t>
  </si>
  <si>
    <t xml:space="preserve">/admin/vehicles/new</t>
  </si>
  <si>
    <t xml:space="preserve">Form a Vehicle</t>
  </si>
  <si>
    <t xml:space="preserve">VehicleFormation</t>
  </si>
  <si>
    <t xml:space="preserve">Eight stages. Two irreversible, two gated on Board approval. §24a: the LLP is the default and any other legal form needs a resolution naming the specific property.</t>
  </si>
  <si>
    <t xml:space="preserve">Pop-ups, Modals &amp; Dialogs</t>
  </si>
  <si>
    <t xml:space="preserve">Two are built. The rest are proposed — read the Source column before treating any row as agreed. Every modal in this system closes on Escape AND on the backdrop, and its close control says Close, never Agree: a dialog whose only exit is 'I agree' collects consent from people trying to get rid of it.</t>
  </si>
  <si>
    <t xml:space="preserve">ID</t>
  </si>
  <si>
    <t xml:space="preserve">Where</t>
  </si>
  <si>
    <t xml:space="preserve">Trigger</t>
  </si>
  <si>
    <t xml:space="preserve">What it does</t>
  </si>
  <si>
    <t xml:space="preserve">Ground</t>
  </si>
  <si>
    <t xml:space="preserve">Source</t>
  </si>
  <si>
    <t xml:space="preserve">P-01</t>
  </si>
  <si>
    <t xml:space="preserve">Read the Terms and Conditions button</t>
  </si>
  <si>
    <t xml:space="preserve">Renders the full T&amp;C document over the form. Gates the agreement checkbox — the box enables only once the document has been opened.</t>
  </si>
  <si>
    <t xml:space="preserve">Paper</t>
  </si>
  <si>
    <t xml:space="preserve">Code</t>
  </si>
  <si>
    <t xml:space="preserve">app/_assemblies/flow.tsx:577. Opens IN PLACE rather than linking away: a link loses the half-filled application. Does NOT require scrolling to the end — scroll position is not reading, and a keyboard user never fires a scroll handler.</t>
  </si>
  <si>
    <t xml:space="preserve">P-02</t>
  </si>
  <si>
    <t xml:space="preserve">Click a frame</t>
  </si>
  <si>
    <t xml:space="preserve">Lightbox. Arrow keys step, Escape closes, close control always visible.</t>
  </si>
  <si>
    <t xml:space="preserve">Void</t>
  </si>
  <si>
    <t xml:space="preserve">app/_assemblies/gatewaypages.tsx:229. Close is never hover-revealed and never in a vanishing corner.</t>
  </si>
  <si>
    <t xml:space="preserve">P-03</t>
  </si>
  <si>
    <t xml:space="preserve">All pages</t>
  </si>
  <si>
    <t xml:space="preserve">First visit</t>
  </si>
  <si>
    <t xml:space="preserve">Cookie / consent banner.</t>
  </si>
  <si>
    <t xml:space="preserve">Proposed</t>
  </si>
  <si>
    <t xml:space="preserve">/legal/cookies exists as a document with no banner in front of it. REQUIRED for DPDP and GDPR if you take EU traffic. Must default to declining non-essential.</t>
  </si>
  <si>
    <t xml:space="preserve">P-04</t>
  </si>
  <si>
    <t xml:space="preserve">Navigating away mid-form</t>
  </si>
  <si>
    <t xml:space="preserve">Unsaved-changes guard.</t>
  </si>
  <si>
    <t xml:space="preserve">The form autosaves on blur, so this is lower risk than usual — but a half-finished PAN field is lost on a back button today.</t>
  </si>
  <si>
    <t xml:space="preserve">P-05</t>
  </si>
  <si>
    <t xml:space="preserve">Any authenticated surface</t>
  </si>
  <si>
    <t xml:space="preserve">Session nearing expiry</t>
  </si>
  <si>
    <t xml:space="preserve">Session-expiry warning with an extend control.</t>
  </si>
  <si>
    <t xml:space="preserve">Blocked: no authentication exists. Build with Clerk, not before.</t>
  </si>
  <si>
    <t xml:space="preserve">P-06</t>
  </si>
  <si>
    <t xml:space="preserve">Cast a vote</t>
  </si>
  <si>
    <t xml:space="preserve">Vote confirmation. Contribution-weighted, irreversible, and states the weight being cast.</t>
  </si>
  <si>
    <t xml:space="preserve">A vote is irreversible under §24a. It needs the same deliberation treatment as the commitment piston, not an OK button.</t>
  </si>
  <si>
    <t xml:space="preserve">P-07</t>
  </si>
  <si>
    <t xml:space="preserve">Upload</t>
  </si>
  <si>
    <t xml:space="preserve">File picker with type, dimension and licence capture.</t>
  </si>
  <si>
    <t xml:space="preserve">The media admin surface is built; the upload path is not. Blocked on Vercel Blob.</t>
  </si>
  <si>
    <t xml:space="preserve">P-08</t>
  </si>
  <si>
    <t xml:space="preserve">Submit formation</t>
  </si>
  <si>
    <t xml:space="preserve">Confirm-before-create for a new LLP.</t>
  </si>
  <si>
    <t xml:space="preserve">Creates a constitutional entity. Should require a resolution reference, not a click.</t>
  </si>
  <si>
    <t xml:space="preserve">P-09</t>
  </si>
  <si>
    <t xml:space="preserve">Global</t>
  </si>
  <si>
    <t xml:space="preserve">A destructive admin action</t>
  </si>
  <si>
    <t xml:space="preserve">Confirm-destructive dialog. Types the object name to confirm.</t>
  </si>
  <si>
    <t xml:space="preserve">No destructive admin action is wired yet, so nothing is at risk today.</t>
  </si>
  <si>
    <t xml:space="preserve">P-10</t>
  </si>
  <si>
    <t xml:space="preserve">—</t>
  </si>
  <si>
    <t xml:space="preserve">NONE, deliberately.</t>
  </si>
  <si>
    <t xml:space="preserve">N/A</t>
  </si>
  <si>
    <t xml:space="preserve">The commitment is a 3-second sustained press (the piston), not a dialog. The duration IS the deliberation. A confirm dialog after a hold would be two confirmations, which trains people to dismiss both.</t>
  </si>
  <si>
    <t xml:space="preserve">In-Product Notifications</t>
  </si>
  <si>
    <t xml:space="preserve">Two routes exist to HOLD notifications; no notification is generated by anything. Every row below is Proposed unless marked otherwise. The trigger column names the event — a notification without a named event is a notification nobody can test.</t>
  </si>
  <si>
    <t xml:space="preserve">Event that fires it</t>
  </si>
  <si>
    <t xml:space="preserve">Message</t>
  </si>
  <si>
    <t xml:space="preserve">Audience</t>
  </si>
  <si>
    <t xml:space="preserve">Urgency</t>
  </si>
  <si>
    <t xml:space="preserve">Where it lands</t>
  </si>
  <si>
    <t xml:space="preserve">N-00</t>
  </si>
  <si>
    <t xml:space="preserve">(the surfaces that hold them)</t>
  </si>
  <si>
    <t xml:space="preserve">Member</t>
  </si>
  <si>
    <t xml:space="preserve">/member/notifications, /member/settings/notifications</t>
  </si>
  <si>
    <t xml:space="preserve">Both routes exist and render the registry Surface. Nothing writes to them.</t>
  </si>
  <si>
    <t xml:space="preserve">N-01</t>
  </si>
  <si>
    <t xml:space="preserve">Accreditation submitted</t>
  </si>
  <si>
    <t xml:space="preserve">Application received. A decision follows within 15 working days.</t>
  </si>
  <si>
    <t xml:space="preserve">Applicant</t>
  </si>
  <si>
    <t xml:space="preserve">Normal</t>
  </si>
  <si>
    <t xml:space="preserve">Email + in-product</t>
  </si>
  <si>
    <t xml:space="preserve">PR-01 states the window; nothing currently confirms receipt.</t>
  </si>
  <si>
    <t xml:space="preserve">N-02</t>
  </si>
  <si>
    <t xml:space="preserve">Accreditation decided</t>
  </si>
  <si>
    <t xml:space="preserve">Accreditation approved / declined, with the reason.</t>
  </si>
  <si>
    <t xml:space="preserve">High</t>
  </si>
  <si>
    <t xml:space="preserve">A decline must state a reason and a route to appeal.</t>
  </si>
  <si>
    <t xml:space="preserve">N-03</t>
  </si>
  <si>
    <t xml:space="preserve">Deposit received</t>
  </si>
  <si>
    <t xml:space="preserve">₹50,000 received. It holds your position; it does not make you a partner.</t>
  </si>
  <si>
    <t xml:space="preserve">Investor</t>
  </si>
  <si>
    <t xml:space="preserve">Must repeat the Member Law. The commonest misreading of a deposit is that it completes the purchase.</t>
  </si>
  <si>
    <t xml:space="preserve">N-04</t>
  </si>
  <si>
    <t xml:space="preserve">Completion window opening</t>
  </si>
  <si>
    <t xml:space="preserve">Balance and Vehicle Agreement due within 15 working days.</t>
  </si>
  <si>
    <t xml:space="preserve">Email</t>
  </si>
  <si>
    <t xml:space="preserve">Needs a countdown, and a second at T-3 days.</t>
  </si>
  <si>
    <t xml:space="preserve">N-05</t>
  </si>
  <si>
    <t xml:space="preserve">SETTLEMENT</t>
  </si>
  <si>
    <t xml:space="preserve">You are a Member of &lt;vehicle&gt;. Entitlement and governance rights begin now.</t>
  </si>
  <si>
    <t xml:space="preserve">Critical</t>
  </si>
  <si>
    <t xml:space="preserve">THE MEMBER LAW (I-08) fires here and only here. This is the single most important notification in the system and it is irreversible.</t>
  </si>
  <si>
    <t xml:space="preserve">N-06</t>
  </si>
  <si>
    <t xml:space="preserve">Resolution opened</t>
  </si>
  <si>
    <t xml:space="preserve">A resolution is open for your vote. Threshold: ordinary / special. Closes &lt;date&gt;.</t>
  </si>
  <si>
    <t xml:space="preserve">Must state the threshold and the voting weight, per §24a.</t>
  </si>
  <si>
    <t xml:space="preserve">N-07</t>
  </si>
  <si>
    <t xml:space="preserve">Resolution closing</t>
  </si>
  <si>
    <t xml:space="preserve">Your vote has not been cast. Voting closes in 48 hours.</t>
  </si>
  <si>
    <t xml:space="preserve">A tie is NOT approval, so an uncast vote has a real consequence and the reminder must say so.</t>
  </si>
  <si>
    <t xml:space="preserve">N-08</t>
  </si>
  <si>
    <t xml:space="preserve">Resolution decided</t>
  </si>
  <si>
    <t xml:space="preserve">Outcome, the count, and the threshold it met.</t>
  </si>
  <si>
    <t xml:space="preserve">ADR-0008: secret ballot, transparent outcome. Publish the tally, never who voted how.</t>
  </si>
  <si>
    <t xml:space="preserve">N-09</t>
  </si>
  <si>
    <t xml:space="preserve">Distribution declared</t>
  </si>
  <si>
    <t xml:space="preserve">&lt;amount&gt; declared for the period ending &lt;date&gt;.</t>
  </si>
  <si>
    <t xml:space="preserve">Must carry a confidence class like every other figure.</t>
  </si>
  <si>
    <t xml:space="preserve">N-10</t>
  </si>
  <si>
    <t xml:space="preserve">Distribution paid</t>
  </si>
  <si>
    <t xml:space="preserve">&lt;amount&gt; paid to the account ending &lt;n&gt;.</t>
  </si>
  <si>
    <t xml:space="preserve">N-11</t>
  </si>
  <si>
    <t xml:space="preserve">Distribution BLOCKED</t>
  </si>
  <si>
    <t xml:space="preserve">No distribution this period. Stage six does not run if the reserve would fall below its floor.</t>
  </si>
  <si>
    <t xml:space="preserve">Silence here reads as an error. A profitable period with no distribution is normal and must be explained when it happens, not in a FAQ.</t>
  </si>
  <si>
    <t xml:space="preserve">N-12</t>
  </si>
  <si>
    <t xml:space="preserve">Entitlement opens</t>
  </si>
  <si>
    <t xml:space="preserve">Your &lt;n&gt; nights for &lt;year&gt; are now drawable.</t>
  </si>
  <si>
    <t xml:space="preserve">In-product</t>
  </si>
  <si>
    <t xml:space="preserve">Not before handover — nothing is drawable against an unbuilt asset.</t>
  </si>
  <si>
    <t xml:space="preserve">N-13</t>
  </si>
  <si>
    <t xml:space="preserve">Entitlement expiring</t>
  </si>
  <si>
    <t xml:space="preserve">&lt;n&gt; nights lapse on &lt;date&gt;.</t>
  </si>
  <si>
    <t xml:space="preserve">Needs a stated lapse policy first — see Decisions D-07.</t>
  </si>
  <si>
    <t xml:space="preserve">N-14</t>
  </si>
  <si>
    <t xml:space="preserve">Document version changed</t>
  </si>
  <si>
    <t xml:space="preserve">&lt;document&gt; is now v&lt;n&gt;. What changed: &lt;summary&gt;.</t>
  </si>
  <si>
    <t xml:space="preserve">A binding document changing under someone silently is the failure mode. Must link the diff.</t>
  </si>
  <si>
    <t xml:space="preserve">N-15</t>
  </si>
  <si>
    <t xml:space="preserve">Covenant proximity</t>
  </si>
  <si>
    <t xml:space="preserve">DSCR approaching the covenant threshold.</t>
  </si>
  <si>
    <t xml:space="preserve">Office</t>
  </si>
  <si>
    <t xml:space="preserve">Office vantage only. Never shown at member vantage without Board sign-off on the wording.</t>
  </si>
  <si>
    <t xml:space="preserve">N-16</t>
  </si>
  <si>
    <t xml:space="preserve">Valuation published</t>
  </si>
  <si>
    <t xml:space="preserve">&lt;property&gt; revalued to &lt;amount&gt; by &lt;source&gt;.</t>
  </si>
  <si>
    <t xml:space="preserve">Must name the source and its confidence class; a management estimate is not an appraisal.</t>
  </si>
  <si>
    <t xml:space="preserve">N-17</t>
  </si>
  <si>
    <t xml:space="preserve">Lead captured</t>
  </si>
  <si>
    <t xml:space="preserve">A signal / dossier request arrived.</t>
  </si>
  <si>
    <t xml:space="preserve">Low</t>
  </si>
  <si>
    <t xml:space="preserve">Live</t>
  </si>
  <si>
    <t xml:space="preserve">The only notification that actually fires today. app/api/signal, app/api/dossier → lib/leads.ts.</t>
  </si>
  <si>
    <t xml:space="preserve">Transactional Email</t>
  </si>
  <si>
    <t xml:space="preserve">Two endpoints are live via Resend; both return 503 without RESEND_API_KEY and the page says so rather than showing a false success. Everything else is proposed. No template system, no unsubscribe handling and no verified sending domain exists yet.</t>
  </si>
  <si>
    <t xml:space="preserve">To</t>
  </si>
  <si>
    <t xml:space="preserve">Subject / purpose</t>
  </si>
  <si>
    <t xml:space="preserve">Type</t>
  </si>
  <si>
    <t xml:space="preserve">Template</t>
  </si>
  <si>
    <t xml:space="preserve">E-01</t>
  </si>
  <si>
    <t xml:space="preserve">/signal form submit</t>
  </si>
  <si>
    <t xml:space="preserve">SIGNAL_LEAD_EMAIL</t>
  </si>
  <si>
    <t xml:space="preserve">New Signal subscriber</t>
  </si>
  <si>
    <t xml:space="preserve">Internal</t>
  </si>
  <si>
    <t xml:space="preserve">Plain text</t>
  </si>
  <si>
    <t xml:space="preserve">lib/leads.ts. Returns 503 when unconfigured; the form renders an honest failure with a mailto fallback.</t>
  </si>
  <si>
    <t xml:space="preserve">E-02</t>
  </si>
  <si>
    <t xml:space="preserve">/communique/request submit</t>
  </si>
  <si>
    <t xml:space="preserve">DOSSIER_LEAD_EMAIL</t>
  </si>
  <si>
    <t xml:space="preserve">New dossier request</t>
  </si>
  <si>
    <t xml:space="preserve">Same path. 400 on invalid input, 503 on unconfigured.</t>
  </si>
  <si>
    <t xml:space="preserve">E-03</t>
  </si>
  <si>
    <t xml:space="preserve">Signal form submit</t>
  </si>
  <si>
    <t xml:space="preserve">The subscriber</t>
  </si>
  <si>
    <t xml:space="preserve">Confirm the subscription (double opt-in)</t>
  </si>
  <si>
    <t xml:space="preserve">Outbound</t>
  </si>
  <si>
    <t xml:space="preserve">REQUIRED. Today you capture an address and send that person nothing — no confirmation and no way to unsubscribe. This is a compliance gap, not a nicety.</t>
  </si>
  <si>
    <t xml:space="preserve">E-04</t>
  </si>
  <si>
    <t xml:space="preserve">Dossier request</t>
  </si>
  <si>
    <t xml:space="preserve">The requester</t>
  </si>
  <si>
    <t xml:space="preserve">The dossier itself</t>
  </si>
  <si>
    <t xml:space="preserve">The form promises an intelligence pack. Nothing sends one. See Assets A-20.</t>
  </si>
  <si>
    <t xml:space="preserve">E-05</t>
  </si>
  <si>
    <t xml:space="preserve">Sign-up</t>
  </si>
  <si>
    <t xml:space="preserve">New account</t>
  </si>
  <si>
    <t xml:space="preserve">Verify your email address</t>
  </si>
  <si>
    <t xml:space="preserve">Blocked on Clerk, which handles this natively.</t>
  </si>
  <si>
    <t xml:space="preserve">E-06</t>
  </si>
  <si>
    <t xml:space="preserve">Application received · 15 working days</t>
  </si>
  <si>
    <t xml:space="preserve">Pairs with N-01.</t>
  </si>
  <si>
    <t xml:space="preserve">E-07</t>
  </si>
  <si>
    <t xml:space="preserve">Decision, with reason</t>
  </si>
  <si>
    <t xml:space="preserve">Pairs with N-02.</t>
  </si>
  <si>
    <t xml:space="preserve">E-08</t>
  </si>
  <si>
    <t xml:space="preserve">₹50,000 received · what it does and does not do</t>
  </si>
  <si>
    <t xml:space="preserve">Must state that a deposit makes nobody a partner.</t>
  </si>
  <si>
    <t xml:space="preserve">E-09</t>
  </si>
  <si>
    <t xml:space="preserve">Payment receipt (GST-compliant)</t>
  </si>
  <si>
    <t xml:space="preserve">Tax-document requirements unconfirmed — see Decisions D-05.</t>
  </si>
  <si>
    <t xml:space="preserve">E-10</t>
  </si>
  <si>
    <t xml:space="preserve">Settlement</t>
  </si>
  <si>
    <t xml:space="preserve">You are a Member of &lt;vehicle&gt;</t>
  </si>
  <si>
    <t xml:space="preserve">THE MEMBER LAW. Should carry the Vehicle Agreement and the register entry as attachments.</t>
  </si>
  <si>
    <t xml:space="preserve">E-11</t>
  </si>
  <si>
    <t xml:space="preserve">Members</t>
  </si>
  <si>
    <t xml:space="preserve">A resolution is open · closes &lt;date&gt;</t>
  </si>
  <si>
    <t xml:space="preserve">E-12</t>
  </si>
  <si>
    <t xml:space="preserve">Non-voters</t>
  </si>
  <si>
    <t xml:space="preserve">Voting closes in 48 hours</t>
  </si>
  <si>
    <t xml:space="preserve">E-13</t>
  </si>
  <si>
    <t xml:space="preserve">Outcome and tally</t>
  </si>
  <si>
    <t xml:space="preserve">Tally yes; individual votes never.</t>
  </si>
  <si>
    <t xml:space="preserve">E-14</t>
  </si>
  <si>
    <t xml:space="preserve">Distribution statement</t>
  </si>
  <si>
    <t xml:space="preserve">Needs a PDF generator — none exists.</t>
  </si>
  <si>
    <t xml:space="preserve">E-15</t>
  </si>
  <si>
    <t xml:space="preserve">Quarterly</t>
  </si>
  <si>
    <t xml:space="preserve">Vehicle report</t>
  </si>
  <si>
    <t xml:space="preserve">Cadence and content not agreed — Decisions D-08.</t>
  </si>
  <si>
    <t xml:space="preserve">E-16</t>
  </si>
  <si>
    <t xml:space="preserve">Document version change</t>
  </si>
  <si>
    <t xml:space="preserve">&lt;document&gt; updated to v&lt;n&gt;</t>
  </si>
  <si>
    <t xml:space="preserve">Legally significant. Must link the diff, not just announce it.</t>
  </si>
  <si>
    <t xml:space="preserve">E-17</t>
  </si>
  <si>
    <t xml:space="preserve">Weekly</t>
  </si>
  <si>
    <t xml:space="preserve">Signal subscribers</t>
  </si>
  <si>
    <t xml:space="preserve">Marketing</t>
  </si>
  <si>
    <t xml:space="preserve">Needs unsubscribe, preference centre and a verified domain before a single send.</t>
  </si>
  <si>
    <t xml:space="preserve">E-18</t>
  </si>
  <si>
    <t xml:space="preserve">Password reset</t>
  </si>
  <si>
    <t xml:space="preserve">Account</t>
  </si>
  <si>
    <t xml:space="preserve">Reset your password</t>
  </si>
  <si>
    <t xml:space="preserve">Blocked on Clerk.</t>
  </si>
  <si>
    <t xml:space="preserve">Current Gaps</t>
  </si>
  <si>
    <t xml:space="preserve">What is missing, why it matters, and what it blocks. Severity is my assessment. 'Blocks launch' means I would not put the URL in front of an investor until it is closed.</t>
  </si>
  <si>
    <t xml:space="preserve">Area</t>
  </si>
  <si>
    <t xml:space="preserve">The gap</t>
  </si>
  <si>
    <t xml:space="preserve">What it blocks</t>
  </si>
  <si>
    <t xml:space="preserve">Severity</t>
  </si>
  <si>
    <t xml:space="preserve">Effort</t>
  </si>
  <si>
    <t xml:space="preserve">G-01</t>
  </si>
  <si>
    <t xml:space="preserve">~9,000 words of Terms and Risk Disclosure have never been reviewed by a lawyer.</t>
  </si>
  <si>
    <t xml:space="preserve">Any real investor traffic</t>
  </si>
  <si>
    <t xml:space="preserve">Blocks launch</t>
  </si>
  <si>
    <t xml:space="preserve">External</t>
  </si>
  <si>
    <t xml:space="preserve">Open</t>
  </si>
  <si>
    <t xml:space="preserve">content/legal.ts + slowspace.ts. Drafted to be accurate; not drafted to be relied on. This is the single largest exposure on this sheet and it is not a code problem.</t>
  </si>
  <si>
    <t xml:space="preserve">G-02</t>
  </si>
  <si>
    <t xml:space="preserve">Repository is PUBLIC, so the unreviewed copy and the LLP identifiers are world-readable.</t>
  </si>
  <si>
    <t xml:space="preserve">Minutes</t>
  </si>
  <si>
    <t xml:space="preserve">One command flips it. Raised twice; not yet actioned.</t>
  </si>
  <si>
    <t xml:space="preserve">G-03</t>
  </si>
  <si>
    <t xml:space="preserve">Entity</t>
  </si>
  <si>
    <t xml:space="preserve">SlowSpace Coastal LLP, LLPIN AAC-4471 and the Udupi registered office are modelled from a dossier, not verified against the MCA register.</t>
  </si>
  <si>
    <t xml:space="preserve">Publishing the offering</t>
  </si>
  <si>
    <t xml:space="preserve">If the entity is not incorporated with that identifier, the platform is asserting that it is.</t>
  </si>
  <si>
    <t xml:space="preserve">G-04</t>
  </si>
  <si>
    <t xml:space="preserve">Auth</t>
  </si>
  <si>
    <t xml:space="preserve">No authentication. lib/access.ts fails closed, so 63 member/office routes correctly deny everyone.</t>
  </si>
  <si>
    <t xml:space="preserve">Every member and office surface</t>
  </si>
  <si>
    <t xml:space="preserve">Large</t>
  </si>
  <si>
    <t xml:space="preserve">Deliberate and correct for an unfinished system. Clerk is chosen but not integrated.</t>
  </si>
  <si>
    <t xml:space="preserve">G-05</t>
  </si>
  <si>
    <t xml:space="preserve">Data</t>
  </si>
  <si>
    <t xml:space="preserve">No database. Every page reads static TypeScript.</t>
  </si>
  <si>
    <t xml:space="preserve">Persistence of anything</t>
  </si>
  <si>
    <t xml:space="preserve">Drizzle schema and 27 tables are generated and checked; nothing connects to Neon.</t>
  </si>
  <si>
    <t xml:space="preserve">G-06</t>
  </si>
  <si>
    <t xml:space="preserve">Payments</t>
  </si>
  <si>
    <t xml:space="preserve">No payment processor. The ₹50,000 deposit cannot be taken.</t>
  </si>
  <si>
    <t xml:space="preserve">The commitment flow</t>
  </si>
  <si>
    <t xml:space="preserve">Razorpay chosen. The piston records a state change in memory and nothing else.</t>
  </si>
  <si>
    <t xml:space="preserve">G-07</t>
  </si>
  <si>
    <t xml:space="preserve">Product</t>
  </si>
  <si>
    <t xml:space="preserve">82 of 135 routes render the registry Surface scaffold, not the product.</t>
  </si>
  <si>
    <t xml:space="preserve">Depth beyond the built paths</t>
  </si>
  <si>
    <t xml:space="preserve">See the IA sheet. 12 of these are PUBLIC and indexable — the highest-priority subset.</t>
  </si>
  <si>
    <t xml:space="preserve">G-08</t>
  </si>
  <si>
    <t xml:space="preserve">No photography exists. The gallery ships five labelled drawings.</t>
  </si>
  <si>
    <t xml:space="preserve">Every visual surface</t>
  </si>
  <si>
    <t xml:space="preserve">content/gateway.ts states this plainly rather than shipping renders as photographs. See the Assets sheet.</t>
  </si>
  <si>
    <t xml:space="preserve">G-09</t>
  </si>
  <si>
    <t xml:space="preserve">Ops</t>
  </si>
  <si>
    <t xml:space="preserve">No error tracking.</t>
  </si>
  <si>
    <t xml:space="preserve">Knowing when production breaks</t>
  </si>
  <si>
    <t xml:space="preserve">Small</t>
  </si>
  <si>
    <t xml:space="preserve">Doc</t>
  </si>
  <si>
    <t xml:space="preserve">Sentry identified as the sixth account; not opened.</t>
  </si>
  <si>
    <t xml:space="preserve">G-10</t>
  </si>
  <si>
    <t xml:space="preserve">No rate limiting on /api/signal or /api/dossier.</t>
  </si>
  <si>
    <t xml:space="preserve">Publicising the URL</t>
  </si>
  <si>
    <t xml:space="preserve">Both are public, unauthenticated and send email. Trivially abusable once the domain is known.</t>
  </si>
  <si>
    <t xml:space="preserve">G-11</t>
  </si>
  <si>
    <t xml:space="preserve">No cookie/consent banner, no unsubscribe, no double opt-in.</t>
  </si>
  <si>
    <t xml:space="preserve">EU traffic; any marketing send</t>
  </si>
  <si>
    <t xml:space="preserve">Medium</t>
  </si>
  <si>
    <t xml:space="preserve">/legal/cookies documents a policy nothing enforces.</t>
  </si>
  <si>
    <t xml:space="preserve">G-12</t>
  </si>
  <si>
    <t xml:space="preserve">No CI. npm run verify runs only via a local pre-commit hook, which --no-verify walks past.</t>
  </si>
  <si>
    <t xml:space="preserve">Confidence in main</t>
  </si>
  <si>
    <t xml:space="preserve">GitHub Actions workflow not yet added; the token scope for it exists.</t>
  </si>
  <si>
    <t xml:space="preserve">G-13</t>
  </si>
  <si>
    <t xml:space="preserve">Notifications: two routes hold them, nothing generates one.</t>
  </si>
  <si>
    <t xml:space="preserve">Every member communication</t>
  </si>
  <si>
    <t xml:space="preserve">See the Notifications sheet.</t>
  </si>
  <si>
    <t xml:space="preserve">G-14</t>
  </si>
  <si>
    <t xml:space="preserve">No PDF generation.</t>
  </si>
  <si>
    <t xml:space="preserve">Statements, receipts, the dossier</t>
  </si>
  <si>
    <t xml:space="preserve">Referenced by four proposed emails.</t>
  </si>
  <si>
    <t xml:space="preserve">G-15</t>
  </si>
  <si>
    <t xml:space="preserve">Design</t>
  </si>
  <si>
    <t xml:space="preserve">Risk categories: 8 in the design system, 10 in the registry. Six render neutral grey.</t>
  </si>
  <si>
    <t xml:space="preserve">Correct risk colour</t>
  </si>
  <si>
    <t xml:space="preserve">WAVE-5-OPEN-QUESTIONS A2. riskColour() falls back to steel and a test pins that.</t>
  </si>
  <si>
    <t xml:space="preserve">G-16</t>
  </si>
  <si>
    <t xml:space="preserve">Brand voice conflict: L1-02 says 'Warm', Addendum A says 'never persuades'.</t>
  </si>
  <si>
    <t xml:space="preserve">Consistent copy</t>
  </si>
  <si>
    <t xml:space="preserve">WAVE-5 A1. Resolved in practice toward plain and non-blaming; not written down.</t>
  </si>
  <si>
    <t xml:space="preserve">G-17</t>
  </si>
  <si>
    <t xml:space="preserve">/collective/press and /collective/gallery ship empty on purpose.</t>
  </si>
  <si>
    <t xml:space="preserve">Credibility surfaces</t>
  </si>
  <si>
    <t xml:space="preserve">The wireframe's six press clippings were quotes attributed to publications that have not published them. Empty and honest beats populated and false.</t>
  </si>
  <si>
    <t xml:space="preserve">G-18</t>
  </si>
  <si>
    <t xml:space="preserve">Vercel region pinned to bom1 for DPDP residency; plan support unverified.</t>
  </si>
  <si>
    <t xml:space="preserve">First deploy</t>
  </si>
  <si>
    <t xml:space="preserve">vercel.json. Will fail the deploy if the plan disallows region pinning.</t>
  </si>
  <si>
    <t xml:space="preserve">Decisions Awaiting You</t>
  </si>
  <si>
    <t xml:space="preserve">Each is a decision I could not make for you because it is commercial, fiduciary, legal or a matter of taste. Where I had a defensible default I applied it and said so in My Recommendation — none of those is agreed. YELLOW CELLS ARE YOURS TO FILL.</t>
  </si>
  <si>
    <t xml:space="preserve">The decision</t>
  </si>
  <si>
    <t xml:space="preserve">My recommendation</t>
  </si>
  <si>
    <t xml:space="preserve">Your decision</t>
  </si>
  <si>
    <t xml:space="preserve">Owner</t>
  </si>
  <si>
    <t xml:space="preserve">Due</t>
  </si>
  <si>
    <t xml:space="preserve">D-01</t>
  </si>
  <si>
    <t xml:space="preserve">Engage a lawyer to review the Terms and Risk Disclosure before any real traffic. Who, and when?</t>
  </si>
  <si>
    <t xml:space="preserve">Do this before the domain is public. Nothing else on this sheet costs more to get wrong.</t>
  </si>
  <si>
    <t xml:space="preserve">D-02</t>
  </si>
  <si>
    <t xml:space="preserve">Repository visibility: public or private?</t>
  </si>
  <si>
    <t xml:space="preserve">Private until D-01 closes. Search engines cannot un-crawl.</t>
  </si>
  <si>
    <t xml:space="preserve">D-03</t>
  </si>
  <si>
    <t xml:space="preserve">Confirm SlowSpace Coastal LLP is incorporated, and the real LLPIN and registered office.</t>
  </si>
  <si>
    <t xml:space="preserve">Replace with placeholders until confirmed, or confirm and keep.</t>
  </si>
  <si>
    <t xml:space="preserve">D-04</t>
  </si>
  <si>
    <t xml:space="preserve">Commercial</t>
  </si>
  <si>
    <t xml:space="preserve">Minimum unit is 5% and the ceiling 50%. Confirm both.</t>
  </si>
  <si>
    <t xml:space="preserve">Keep. 5% admits a wider register; 50% is where a partner would carry every ordinary resolution alone under §24a.</t>
  </si>
  <si>
    <t xml:space="preserve">D-05</t>
  </si>
  <si>
    <t xml:space="preserve">Finance</t>
  </si>
  <si>
    <t xml:space="preserve">Is the ₹50,000 deposit taxable on receipt, and what document must issue?</t>
  </si>
  <si>
    <t xml:space="preserve">Needs your accountant. It changes E-09 and the receipt wording.</t>
  </si>
  <si>
    <t xml:space="preserve">D-06</t>
  </si>
  <si>
    <t xml:space="preserve">Confirm the entitlement pool of 180–210 nights a year for the whole property.</t>
  </si>
  <si>
    <t xml:space="preserve">Keep. Derived so that no partition can exceed what the property can deliver.</t>
  </si>
  <si>
    <t xml:space="preserve">D-07</t>
  </si>
  <si>
    <t xml:space="preserve">Do unused nights lapse, roll over, or convert?</t>
  </si>
  <si>
    <t xml:space="preserve">Needs a policy before N-13 can be written. Lapse is simplest and the least generous; say which it is.</t>
  </si>
  <si>
    <t xml:space="preserve">D-08</t>
  </si>
  <si>
    <t xml:space="preserve">Comms</t>
  </si>
  <si>
    <t xml:space="preserve">Reporting cadence to members — quarterly, half-yearly?</t>
  </si>
  <si>
    <t xml:space="preserve">Quarterly, aligned to the distribution period.</t>
  </si>
  <si>
    <t xml:space="preserve">D-09</t>
  </si>
  <si>
    <t xml:space="preserve">Risk categories: extend the design system to 10, or map the registry's 10 onto 8?</t>
  </si>
  <si>
    <t xml:space="preserve">Map first (no amendment needed), then extend.</t>
  </si>
  <si>
    <t xml:space="preserve">D-10</t>
  </si>
  <si>
    <t xml:space="preserve">Brand</t>
  </si>
  <si>
    <t xml:space="preserve">Brand voice: does L1-02 'Warm' or Addendum A 'never persuades' govern interface copy?</t>
  </si>
  <si>
    <t xml:space="preserve">Addendum A governs interface copy; L1-02 governs member-facing narrative. Write it down.</t>
  </si>
  <si>
    <t xml:space="preserve">D-11</t>
  </si>
  <si>
    <t xml:space="preserve">Confirm the production domain.</t>
  </si>
  <si>
    <t xml:space="preserve">getawaycollective.in is assumed throughout .env.example. Every share card and sitemap URL depends on it.</t>
  </si>
  <si>
    <t xml:space="preserve">D-12</t>
  </si>
  <si>
    <t xml:space="preserve">Confirm the Vercel plan supports region pinning to bom1.</t>
  </si>
  <si>
    <t xml:space="preserve">Needed for the DPDP residency claim. If not, either upgrade or drop the claim — do not keep the claim without the pinning.</t>
  </si>
  <si>
    <t xml:space="preserve">D-13</t>
  </si>
  <si>
    <t xml:space="preserve">Open a Sentry account (the sixth).</t>
  </si>
  <si>
    <t xml:space="preserve">Yes, before launch. Silent production failures are the worst kind.</t>
  </si>
  <si>
    <t xml:space="preserve">D-14</t>
  </si>
  <si>
    <t xml:space="preserve">Commission photography, or ship labelled drawings?</t>
  </si>
  <si>
    <t xml:space="preserve">Ship drawings, labelled as drawings, until a property is photographable. Commission for Padubidri at handover.</t>
  </si>
  <si>
    <t xml:space="preserve">D-15</t>
  </si>
  <si>
    <t xml:space="preserve">Which of the 12 public scaffolds get built first?</t>
  </si>
  <si>
    <t xml:space="preserve">See the IA sheet filtered to public + scaffold. They are indexable, so they are what a stranger finds.</t>
  </si>
  <si>
    <t xml:space="preserve">D-16</t>
  </si>
  <si>
    <t xml:space="preserve">Verify a sending domain in Resend.</t>
  </si>
  <si>
    <t xml:space="preserve">Required before any outbound email. The sandbox sender only delivers to your own address.</t>
  </si>
  <si>
    <t xml:space="preserve">D-17</t>
  </si>
  <si>
    <t xml:space="preserve">Do you take EU traffic? It decides whether GDPR applies on top of DPDP.</t>
  </si>
  <si>
    <t xml:space="preserve">Assume yes unless you geo-block. It changes P-03 and E-03.</t>
  </si>
  <si>
    <t xml:space="preserve">D-18</t>
  </si>
  <si>
    <t xml:space="preserve">Domain</t>
  </si>
  <si>
    <t xml:space="preserve">Ratify the §33 amendment queue: 10 candidate objects the vehicle domain model registers (see the Domain sheet).</t>
  </si>
  <si>
    <t xml:space="preserve">Ratify OwnershipCalendar + AllocationRight first — Time is the only domain with zero ratified objects. FixedAsset and DebtFacility next; both are needed before the first fit-out invoice and the first covenant test.</t>
  </si>
  <si>
    <t xml:space="preserve">D-19</t>
  </si>
  <si>
    <t xml:space="preserve">Confirm the audit-threshold policy: the statutory mirror assumes EVERY GC vehicle crosses ₹25 lakh contribution at formation, so all are audited and ITR-5 falls on 31 October.</t>
  </si>
  <si>
    <t xml:space="preserve">True of SlowSpace (₹4 Cr equity). Confirm it holds as standing policy so the mirror never needs a per-vehicle exception.</t>
  </si>
  <si>
    <t xml:space="preserve">Pending Assets</t>
  </si>
  <si>
    <t xml:space="preserve">Nothing here exists. Dimensions are what the code actually consumes; where a surface currently renders a generated placeholder, the placeholder is named so you can see what it is standing in for. YELLOW CELLS ARE YOURS.</t>
  </si>
  <si>
    <t xml:space="preserve">Category</t>
  </si>
  <si>
    <t xml:space="preserve">Asset</t>
  </si>
  <si>
    <t xml:space="preserve">Dimensions</t>
  </si>
  <si>
    <t xml:space="preserve">Qty</t>
  </si>
  <si>
    <t xml:space="preserve">Used by</t>
  </si>
  <si>
    <t xml:space="preserve">Currently renders</t>
  </si>
  <si>
    <t xml:space="preserve">A-01</t>
  </si>
  <si>
    <t xml:space="preserve">Wordmark</t>
  </si>
  <si>
    <t xml:space="preserve">SVG</t>
  </si>
  <si>
    <t xml:space="preserve">Vector, 1-colour</t>
  </si>
  <si>
    <t xml:space="preserve">1</t>
  </si>
  <si>
    <t xml:space="preserve">Header, footer, favicon</t>
  </si>
  <si>
    <t xml:space="preserve">Text 'GC.SYSTEM'</t>
  </si>
  <si>
    <t xml:space="preserve">Not supplied</t>
  </si>
  <si>
    <t xml:space="preserve">A-02</t>
  </si>
  <si>
    <t xml:space="preserve">Monogram / favicon</t>
  </si>
  <si>
    <t xml:space="preserve">Square, legible at 16px</t>
  </si>
  <si>
    <t xml:space="preserve">app/icon.tsx</t>
  </si>
  <si>
    <t xml:space="preserve">Generated GC monogram from tokens</t>
  </si>
  <si>
    <t xml:space="preserve">A-03</t>
  </si>
  <si>
    <t xml:space="preserve">Brand guidelines PDF</t>
  </si>
  <si>
    <t xml:space="preserve">PDF</t>
  </si>
  <si>
    <t xml:space="preserve">Partner and press packs</t>
  </si>
  <si>
    <t xml:space="preserve">A-04</t>
  </si>
  <si>
    <t xml:space="preserve">SlowSpace Coastal · hero</t>
  </si>
  <si>
    <t xml:space="preserve">Photo/render</t>
  </si>
  <si>
    <t xml:space="preserve">3200×1800 (16:9), ≥2× retina</t>
  </si>
  <si>
    <t xml:space="preserve">/flow, /collection/[property]</t>
  </si>
  <si>
    <t xml:space="preserve">Generated gradient plate, hue 198</t>
  </si>
  <si>
    <t xml:space="preserve">A-05</t>
  </si>
  <si>
    <t xml:space="preserve">SlowSpace Coastal · gallery set</t>
  </si>
  <si>
    <t xml:space="preserve">2400×3000 (4:5)</t>
  </si>
  <si>
    <t xml:space="preserve">8–12</t>
  </si>
  <si>
    <t xml:space="preserve">/gallery, /collection/[property]/gallery</t>
  </si>
  <si>
    <t xml:space="preserve">2 labelled drawings (F-01, F-02)</t>
  </si>
  <si>
    <t xml:space="preserve">A-06</t>
  </si>
  <si>
    <t xml:space="preserve">SlowSpace Coastal · site plan</t>
  </si>
  <si>
    <t xml:space="preserve">Drawing</t>
  </si>
  <si>
    <t xml:space="preserve">Vector or 3000px wide</t>
  </si>
  <si>
    <t xml:space="preserve">F-02 placeholder</t>
  </si>
  <si>
    <t xml:space="preserve">A-07</t>
  </si>
  <si>
    <t xml:space="preserve">SlowSpace Coastal · section drawings</t>
  </si>
  <si>
    <t xml:space="preserve">Vector</t>
  </si>
  <si>
    <t xml:space="preserve">3–4</t>
  </si>
  <si>
    <t xml:space="preserve">Space surfaces</t>
  </si>
  <si>
    <t xml:space="preserve">F-01 placeholder</t>
  </si>
  <si>
    <t xml:space="preserve">A-08</t>
  </si>
  <si>
    <t xml:space="preserve">Kyoto House · gallery set</t>
  </si>
  <si>
    <t xml:space="preserve">Photo</t>
  </si>
  <si>
    <t xml:space="preserve">6–10</t>
  </si>
  <si>
    <t xml:space="preserve">/collection/kyoto-house</t>
  </si>
  <si>
    <t xml:space="preserve">1 labelled drawing (F-03)</t>
  </si>
  <si>
    <t xml:space="preserve">A-09</t>
  </si>
  <si>
    <t xml:space="preserve">Swiss Vault · gallery set</t>
  </si>
  <si>
    <t xml:space="preserve">/collection/swiss-vault</t>
  </si>
  <si>
    <t xml:space="preserve">1 labelled drawing (F-04)</t>
  </si>
  <si>
    <t xml:space="preserve">A-10</t>
  </si>
  <si>
    <t xml:space="preserve">Oslo Base · gallery set</t>
  </si>
  <si>
    <t xml:space="preserve">/collection/oslo-base</t>
  </si>
  <si>
    <t xml:space="preserve">1 labelled drawing (F-05)</t>
  </si>
  <si>
    <t xml:space="preserve">A-11</t>
  </si>
  <si>
    <t xml:space="preserve">Aerial / context</t>
  </si>
  <si>
    <t xml:space="preserve">3200×1800</t>
  </si>
  <si>
    <t xml:space="preserve">1 per property</t>
  </si>
  <si>
    <t xml:space="preserve">Location surfaces</t>
  </si>
  <si>
    <t xml:space="preserve">A-12</t>
  </si>
  <si>
    <t xml:space="preserve">Social</t>
  </si>
  <si>
    <t xml:space="preserve">Default share card</t>
  </si>
  <si>
    <t xml:space="preserve">PNG</t>
  </si>
  <si>
    <t xml:space="preserve">1200×630</t>
  </si>
  <si>
    <t xml:space="preserve">app/opengraph-image.tsx</t>
  </si>
  <si>
    <t xml:space="preserve">Generated type-only card from tokens</t>
  </si>
  <si>
    <t xml:space="preserve">A-13</t>
  </si>
  <si>
    <t xml:space="preserve">Per-property share cards</t>
  </si>
  <si>
    <t xml:space="preserve">Property routes</t>
  </si>
  <si>
    <t xml:space="preserve">Falls back to A-12</t>
  </si>
  <si>
    <t xml:space="preserve">A-14</t>
  </si>
  <si>
    <t xml:space="preserve">Editorial</t>
  </si>
  <si>
    <t xml:space="preserve">Journal entry headers</t>
  </si>
  <si>
    <t xml:space="preserve">Photo/illustration</t>
  </si>
  <si>
    <t xml:space="preserve">2400×1350 (16:9)</t>
  </si>
  <si>
    <t xml:space="preserve">1 per entry</t>
  </si>
  <si>
    <t xml:space="preserve">Gradient plate</t>
  </si>
  <si>
    <t xml:space="preserve">A-15</t>
  </si>
  <si>
    <t xml:space="preserve">Journal author portraits</t>
  </si>
  <si>
    <t xml:space="preserve">800×800</t>
  </si>
  <si>
    <t xml:space="preserve">1 per author</t>
  </si>
  <si>
    <t xml:space="preserve">A-16</t>
  </si>
  <si>
    <t xml:space="preserve">People</t>
  </si>
  <si>
    <t xml:space="preserve">Team portraits</t>
  </si>
  <si>
    <t xml:space="preserve">1200×1500 (4:5)</t>
  </si>
  <si>
    <t xml:space="preserve">1 per person</t>
  </si>
  <si>
    <t xml:space="preserve">A-17</t>
  </si>
  <si>
    <t xml:space="preserve">Partner firm logos</t>
  </si>
  <si>
    <t xml:space="preserve">1 per firm</t>
  </si>
  <si>
    <t xml:space="preserve">Names withheld until engagements are recorded</t>
  </si>
  <si>
    <t xml:space="preserve">A-18</t>
  </si>
  <si>
    <t xml:space="preserve">Diagram</t>
  </si>
  <si>
    <t xml:space="preserve">Vehicle / entity structure</t>
  </si>
  <si>
    <t xml:space="preserve">/structure, /how-it-works</t>
  </si>
  <si>
    <t xml:space="preserve">Text-and-rule diagram</t>
  </si>
  <si>
    <t xml:space="preserve">A-19</t>
  </si>
  <si>
    <t xml:space="preserve">Waterfall diagram</t>
  </si>
  <si>
    <t xml:space="preserve">Built in CSS from live figures — arguably better than an asset</t>
  </si>
  <si>
    <t xml:space="preserve">A-20</t>
  </si>
  <si>
    <t xml:space="preserve">The Dossier / investment brief</t>
  </si>
  <si>
    <t xml:space="preserve">A4</t>
  </si>
  <si>
    <t xml:space="preserve">NOTHING. The form promises it and no file exists.</t>
  </si>
  <si>
    <t xml:space="preserve">A-21</t>
  </si>
  <si>
    <t xml:space="preserve">Vehicle Agreement template</t>
  </si>
  <si>
    <t xml:space="preserve">PDF/DOCX</t>
  </si>
  <si>
    <t xml:space="preserve">1 per vehicle</t>
  </si>
  <si>
    <t xml:space="preserve">Accreditation, settlement</t>
  </si>
  <si>
    <t xml:space="preserve">A-22</t>
  </si>
  <si>
    <t xml:space="preserve">Press</t>
  </si>
  <si>
    <t xml:space="preserve">Press kit</t>
  </si>
  <si>
    <t xml:space="preserve">ZIP</t>
  </si>
  <si>
    <t xml:space="preserve">Ships empty and says so</t>
  </si>
  <si>
    <t xml:space="preserve">A-23</t>
  </si>
  <si>
    <t xml:space="preserve">Video</t>
  </si>
  <si>
    <t xml:space="preserve">Property film</t>
  </si>
  <si>
    <t xml:space="preserve">MP4</t>
  </si>
  <si>
    <t xml:space="preserve">1920×1080, ≤60s</t>
  </si>
  <si>
    <t xml:space="preserve">Hero surfaces</t>
  </si>
  <si>
    <t xml:space="preserve">A-24</t>
  </si>
  <si>
    <t xml:space="preserve">Lawyer-reviewed Terms and Risk Disclosure</t>
  </si>
  <si>
    <t xml:space="preserve">Text</t>
  </si>
  <si>
    <t xml:space="preserve">content/legal.ts</t>
  </si>
  <si>
    <t xml:space="preserve">Unreviewed draft, ~9,000 words</t>
  </si>
  <si>
    <t xml:space="preserve">The Vehicle Domain Model</t>
  </si>
  <si>
    <t xml:space="preserve">EXTRACTED from constants/vehicle-domain.ts (commit b0ade3f), not typed. The LLP sits at the apex; Space, Time and Capital are its constituents; Governance is the constitutional layer that governs the other three — not a fourth business function. Every constituent states what backs it: a ratified object, a UFR field, a derivation, executable code, a REGISTERED gap awaiting a §33 amendment, or OUT OF SCOPE with the reason.</t>
  </si>
  <si>
    <t xml:space="preserve">Section</t>
  </si>
  <si>
    <t xml:space="preserve">Constituent</t>
  </si>
  <si>
    <t xml:space="preserve">Backing</t>
  </si>
  <si>
    <t xml:space="preserve">Backed by</t>
  </si>
  <si>
    <t xml:space="preserve">Gap / exclusion detail</t>
  </si>
  <si>
    <t xml:space="preserve">Note</t>
  </si>
  <si>
    <t xml:space="preserve">What does the LLP own?</t>
  </si>
  <si>
    <t xml:space="preserve">SP.1 · Property</t>
  </si>
  <si>
    <t xml:space="preserve">Property Code</t>
  </si>
  <si>
    <t xml:space="preserve">object</t>
  </si>
  <si>
    <t xml:space="preserve">The asset code (PDB-01) is carried on the record today; a dedicated UFR entry is the E-06 gap to close when the field is next touched.</t>
  </si>
  <si>
    <t xml:space="preserve">Property Name</t>
  </si>
  <si>
    <t xml:space="preserve">field</t>
  </si>
  <si>
    <t xml:space="preserve">UFR-0060 on Property</t>
  </si>
  <si>
    <t xml:space="preserve">Property Type</t>
  </si>
  <si>
    <t xml:space="preserve">Carried on the Property record; the closed type set is an enum question, not a new object.</t>
  </si>
  <si>
    <t xml:space="preserve">Investment Thesis</t>
  </si>
  <si>
    <t xml:space="preserve">An attribute of the asset, constitutionally: the thesis names why THIS property. It moved from Intelligence to Space for that reason.</t>
  </si>
  <si>
    <t xml:space="preserve">Asset Status</t>
  </si>
  <si>
    <t xml:space="preserve">UFR-0066 on Property</t>
  </si>
  <si>
    <t xml:space="preserve">The lifecycle field. Pre-construction → construction → stabilised → disposition.</t>
  </si>
  <si>
    <t xml:space="preserve">Documents Folder</t>
  </si>
  <si>
    <t xml:space="preserve">registered</t>
  </si>
  <si>
    <t xml:space="preserve">PropertyDocument</t>
  </si>
  <si>
    <t xml:space="preserve">One object per instrument with kind, custody and hash — a folder is not a record.</t>
  </si>
  <si>
    <t xml:space="preserve">SP.2 · Fixed Assets</t>
  </si>
  <si>
    <t xml:space="preserve">Furniture &amp; Fixtures</t>
  </si>
  <si>
    <t xml:space="preserve">FixedAsset</t>
  </si>
  <si>
    <t xml:space="preserve">Asset register entries with cost, life, and depreciation basis. Required before the first fit-out invoice lands.</t>
  </si>
  <si>
    <t xml:space="preserve">Plant &amp; Machinery</t>
  </si>
  <si>
    <t xml:space="preserve">Same object, classed plant_machinery.</t>
  </si>
  <si>
    <t xml:space="preserve">Renewable Systems</t>
  </si>
  <si>
    <t xml:space="preserve">Same object, classed renewable.</t>
  </si>
  <si>
    <t xml:space="preserve">Capital Improvements</t>
  </si>
  <si>
    <t xml:space="preserve">Same object, classed improvement — funded from the Sinking Fund, which is why the class must be distinguishable.</t>
  </si>
  <si>
    <t xml:space="preserve">SP.3 · Asset Protection</t>
  </si>
  <si>
    <t xml:space="preserve">Insurance</t>
  </si>
  <si>
    <t xml:space="preserve">InsurancePolicy</t>
  </si>
  <si>
    <t xml:space="preserve">Policy, insurer, sum insured, expiry. The governance calendar needs the expiry date to fire a compliance event.</t>
  </si>
  <si>
    <t xml:space="preserve">Valuation</t>
  </si>
  <si>
    <t xml:space="preserve">Already ratified. Carries its source and confidence class — a management estimate is not an appraisal.</t>
  </si>
  <si>
    <t xml:space="preserve">SP.4 · Property Documents</t>
  </si>
  <si>
    <t xml:space="preserve">Drawings</t>
  </si>
  <si>
    <t xml:space="preserve">kind: drawing</t>
  </si>
  <si>
    <t xml:space="preserve">Approvals</t>
  </si>
  <si>
    <t xml:space="preserve">kind: approval. CRZ clearance lives here — the compliance mirror in Governance references it.</t>
  </si>
  <si>
    <t xml:space="preserve">Manuals</t>
  </si>
  <si>
    <t xml:space="preserve">kind: manual</t>
  </si>
  <si>
    <t xml:space="preserve">Warranties</t>
  </si>
  <si>
    <t xml:space="preserve">kind: warranty. Expiry-bearing, like insurance — feeds the governance calendar.</t>
  </si>
  <si>
    <t xml:space="preserve">Asset Registers</t>
  </si>
  <si>
    <t xml:space="preserve">The register IS the set of FixedAsset records; a separate register document would be a copy that drifts.</t>
  </si>
  <si>
    <t xml:space="preserve">How much time does each LLP Partner legally control?</t>
  </si>
  <si>
    <t xml:space="preserve">TM.1 · Ownership Calendar</t>
  </si>
  <si>
    <t xml:space="preserve">Calendar Year</t>
  </si>
  <si>
    <t xml:space="preserve">OwnershipCalendar</t>
  </si>
  <si>
    <t xml:space="preserve">One record per vehicle per year. The vehicle-level pool the allocations divide.</t>
  </si>
  <si>
    <t xml:space="preserve">Allocation Year</t>
  </si>
  <si>
    <t xml:space="preserve">The year an allocation belongs to — distinct from the calendar year it is used in only once rollover policy exists, which is Decision D-07.</t>
  </si>
  <si>
    <t xml:space="preserve">Available Days</t>
  </si>
  <si>
    <t xml:space="preserve">derived</t>
  </si>
  <si>
    <t xml:space="preserve">NIGHT_POOL stated per vehicle per year; each position takes floor(pool × stake)</t>
  </si>
  <si>
    <t xml:space="preserve">The pool is stated for the whole vehicle and each position takes its floor, so the sum of every partner's entitlement can never exceed what the property delivers. Multiplying a per-unit figure would invent nights.</t>
  </si>
  <si>
    <t xml:space="preserve">TM.2 · Allocation Rights</t>
  </si>
  <si>
    <t xml:space="preserve">Ownership Percentage</t>
  </si>
  <si>
    <t xml:space="preserve">UFR-0242 on Ownership Position</t>
  </si>
  <si>
    <t xml:space="preserve">units_held over total_units_issued. The stake is the input; time is one of its outputs.</t>
  </si>
  <si>
    <t xml:space="preserve">Annual Day Allocation</t>
  </si>
  <si>
    <t xml:space="preserve">floor(available_days × ownership_percentage)</t>
  </si>
  <si>
    <t xml:space="preserve">STATIC. It does not vary with usage, season or behaviour — a right attached to ownership, not a reward attached to conduct.</t>
  </si>
  <si>
    <t xml:space="preserve">Reserved Days</t>
  </si>
  <si>
    <t xml:space="preserve">AllocationRight</t>
  </si>
  <si>
    <t xml:space="preserve">Days the vehicle withholds from the pool before division — maintenance closures, statutory closures.</t>
  </si>
  <si>
    <t xml:space="preserve">Blackout Rules</t>
  </si>
  <si>
    <t xml:space="preserve">Vehicle-level rules constraining when allocation may be drawn. Rules, never individual draws.</t>
  </si>
  <si>
    <t xml:space="preserve">TM.3 · Usage Rights</t>
  </si>
  <si>
    <t xml:space="preserve">Usage Rights</t>
  </si>
  <si>
    <t xml:space="preserve">outOfScope</t>
  </si>
  <si>
    <t xml:space="preserve">Directed out of scope, 1 Aug 2026. Usage is operation, and operation belongs to the Operating Company. The vehicle records who CONTROLS time, never who USED it.</t>
  </si>
  <si>
    <t xml:space="preserve">TM.4 · Calendar Rights</t>
  </si>
  <si>
    <t xml:space="preserve">Calendar Rights</t>
  </si>
  <si>
    <t xml:space="preserve">Directed out of scope, 1 Aug 2026. Same boundary as Usage Rights.</t>
  </si>
  <si>
    <t xml:space="preserve">TM.5 · Time Ledger</t>
  </si>
  <si>
    <t xml:space="preserve">Time Ledger</t>
  </si>
  <si>
    <t xml:space="preserve">Directed out of scope, 1 Aug 2026. A ledger of draws is an operating record. If it is ever pulled inside the vehicle, it enters as a §33 amendment — not as a quiet table.</t>
  </si>
  <si>
    <t xml:space="preserve">What is the financial position of the LLP?</t>
  </si>
  <si>
    <t xml:space="preserve">CP.1 · Investors</t>
  </si>
  <si>
    <t xml:space="preserve">Partner Register</t>
  </si>
  <si>
    <t xml:space="preserve">Ownership Register</t>
  </si>
  <si>
    <t xml:space="preserve">Ownership Position</t>
  </si>
  <si>
    <t xml:space="preserve">The same record Time reads its stake from. One register, two domains reading it — never two registers.</t>
  </si>
  <si>
    <t xml:space="preserve">Capital Accounts</t>
  </si>
  <si>
    <t xml:space="preserve">CapitalAccount</t>
  </si>
  <si>
    <t xml:space="preserve">Per-partner: contributed, share of profit, drawings, closing balance. The LLP Act requires it and Schedule-form accounts assume it.</t>
  </si>
  <si>
    <t xml:space="preserve">CP.2 · Capital Formation</t>
  </si>
  <si>
    <t xml:space="preserve">Investment Offering</t>
  </si>
  <si>
    <t xml:space="preserve">Commitments</t>
  </si>
  <si>
    <t xml:space="preserve">Commitment</t>
  </si>
  <si>
    <t xml:space="preserve">Contributions</t>
  </si>
  <si>
    <t xml:space="preserve">Investment</t>
  </si>
  <si>
    <t xml:space="preserve">A settled contribution. The Member Law fires here and nowhere else.</t>
  </si>
  <si>
    <t xml:space="preserve">CP.3 · Finance</t>
  </si>
  <si>
    <t xml:space="preserve">Debt</t>
  </si>
  <si>
    <t xml:space="preserve">DebtFacility</t>
  </si>
  <si>
    <t xml:space="preserve">Lender, principal, rate, moratorium, covenants. The ₹5.5 Cr facility currently lives as prose in slowspace.ts — a covenant nobody can query is a covenant nobody monitors.</t>
  </si>
  <si>
    <t xml:space="preserve">Interest</t>
  </si>
  <si>
    <t xml:space="preserve">Schedule rows on the facility.</t>
  </si>
  <si>
    <t xml:space="preserve">Repayments</t>
  </si>
  <si>
    <t xml:space="preserve">Banking</t>
  </si>
  <si>
    <t xml:space="preserve">BankAccount</t>
  </si>
  <si>
    <t xml:space="preserve">Account, bank, signatories. Signing authority itself is Governance — the account is Capital, the authority over it is law.</t>
  </si>
  <si>
    <t xml:space="preserve">CP.4 · Revenue</t>
  </si>
  <si>
    <t xml:space="preserve">Revenue</t>
  </si>
  <si>
    <t xml:space="preserve">LedgerEntry</t>
  </si>
  <si>
    <t xml:space="preserve">Recognised revenue, by period and class.</t>
  </si>
  <si>
    <t xml:space="preserve">Operating Income</t>
  </si>
  <si>
    <t xml:space="preserve">class: operating</t>
  </si>
  <si>
    <t xml:space="preserve">Brand Income</t>
  </si>
  <si>
    <t xml:space="preserve">class: brand</t>
  </si>
  <si>
    <t xml:space="preserve">Other Income</t>
  </si>
  <si>
    <t xml:space="preserve">class: other</t>
  </si>
  <si>
    <t xml:space="preserve">CP.5 · Expenses</t>
  </si>
  <si>
    <t xml:space="preserve">Operating Costs</t>
  </si>
  <si>
    <t xml:space="preserve">class: operating_cost</t>
  </si>
  <si>
    <t xml:space="preserve">Asset Management</t>
  </si>
  <si>
    <t xml:space="preserve">class: asset_management</t>
  </si>
  <si>
    <t xml:space="preserve">class: administration</t>
  </si>
  <si>
    <t xml:space="preserve">class: insurance — the premium is an expense here; the policy is Space (SP.3).</t>
  </si>
  <si>
    <t xml:space="preserve">Professional Fees</t>
  </si>
  <si>
    <t xml:space="preserve">class: professional_fees</t>
  </si>
  <si>
    <t xml:space="preserve">CP.6 · Reserves</t>
  </si>
  <si>
    <t xml:space="preserve">Sinking Fund</t>
  </si>
  <si>
    <t xml:space="preserve">lib/domain.ts — waterfall stage 4, floor rule F-06</t>
  </si>
  <si>
    <t xml:space="preserve">The reserve exists as executable law: 2.5% of revenue in, distribution blocked if paying would breach the floor. A Reserve record joins when persistence exists.</t>
  </si>
  <si>
    <t xml:space="preserve">CP.7 · Valuation</t>
  </si>
  <si>
    <t xml:space="preserve">NAV</t>
  </si>
  <si>
    <t xml:space="preserve">asset valuations (Space) − debt outstanding + reserves + net working capital</t>
  </si>
  <si>
    <t xml:space="preserve">Derived, never typed. The prototype carried four different valuations of one house because each screen held its own copy.</t>
  </si>
  <si>
    <t xml:space="preserve">CP.8 · Distribution</t>
  </si>
  <si>
    <t xml:space="preserve">lib/domain.ts — six stages, closes to 100%, F-05</t>
  </si>
  <si>
    <t xml:space="preserve">Debt Service</t>
  </si>
  <si>
    <t xml:space="preserve">investor share − partner distribution; stage 5, the senior claim</t>
  </si>
  <si>
    <t xml:space="preserve">Partner Distributions</t>
  </si>
  <si>
    <t xml:space="preserve">Retained Earnings</t>
  </si>
  <si>
    <t xml:space="preserve">what stage 6 withholds when blocked — retained, never evaporated</t>
  </si>
  <si>
    <t xml:space="preserve">CP.9 · Reporting</t>
  </si>
  <si>
    <t xml:space="preserve">Balance Sheet</t>
  </si>
  <si>
    <t xml:space="preserve">Performance Report</t>
  </si>
  <si>
    <t xml:space="preserve">Statement kinds on the report object; the statutory filing of them is Governance (Form 8).</t>
  </si>
  <si>
    <t xml:space="preserve">Profit &amp; Loss</t>
  </si>
  <si>
    <t xml:space="preserve">Cash Flow</t>
  </si>
  <si>
    <t xml:space="preserve">Reported per partner, per period — same object as CP.1.</t>
  </si>
  <si>
    <t xml:space="preserve">Forecasts</t>
  </si>
  <si>
    <t xml:space="preserve">Forecast</t>
  </si>
  <si>
    <t xml:space="preserve">Forward-looking, so every figure carries its confidence class.</t>
  </si>
  <si>
    <t xml:space="preserve">Governance ⚖</t>
  </si>
  <si>
    <t xml:space="preserve">Under what law does the LLP act, and can it prove compliance?</t>
  </si>
  <si>
    <t xml:space="preserve">GV.1 · LLP Governance</t>
  </si>
  <si>
    <t xml:space="preserve">LLP Agreement</t>
  </si>
  <si>
    <t xml:space="preserve">Agreement</t>
  </si>
  <si>
    <t xml:space="preserve">The constitutional instrument. Filed as Form 3 within 30 days of incorporation — the statutory mirror row references this record.</t>
  </si>
  <si>
    <t xml:space="preserve">Partner &amp; Designated Partner Register</t>
  </si>
  <si>
    <t xml:space="preserve">The register read here is the same Investor set Capital holds — annotated with designated-partner status, never duplicated.</t>
  </si>
  <si>
    <t xml:space="preserve">Authority Matrix</t>
  </si>
  <si>
    <t xml:space="preserve">lib/authority.ts — rights, roles, separationViolations()</t>
  </si>
  <si>
    <t xml:space="preserve">Executable, and checked: no role may hold a dangerous triad. A matrix kept as a document is a matrix nobody enforces.</t>
  </si>
  <si>
    <t xml:space="preserve">Board / Partner Meeting Records</t>
  </si>
  <si>
    <t xml:space="preserve">Committee</t>
  </si>
  <si>
    <t xml:space="preserve">Resolution Register</t>
  </si>
  <si>
    <t xml:space="preserve">Voting Register</t>
  </si>
  <si>
    <t xml:space="preserve">constants/voting.ts — thresholds; ADR-0008 secret ballot, transparent outcome</t>
  </si>
  <si>
    <t xml:space="preserve">Contribution-weighted per §24a. Ordinary carries above 50% — a tie is not approval. Special at 76%. Tallies are published; who voted how never is.</t>
  </si>
  <si>
    <t xml:space="preserve">Constitutional Amendments</t>
  </si>
  <si>
    <t xml:space="preserve">Policy</t>
  </si>
  <si>
    <t xml:space="preserve">Including §33 amendments — which is how every `registered` candidate in this file becomes real.</t>
  </si>
  <si>
    <t xml:space="preserve">All Agreements</t>
  </si>
  <si>
    <t xml:space="preserve">Operator agreement, brand licence, facility agreement — one object, kinds distinguished. Every contract the vehicle signs lands here or does not bind it.</t>
  </si>
  <si>
    <t xml:space="preserve">GV.2 · Corporate Administration</t>
  </si>
  <si>
    <t xml:space="preserve">Incorporation Documents</t>
  </si>
  <si>
    <t xml:space="preserve">StatutoryRecord</t>
  </si>
  <si>
    <t xml:space="preserve">kind: incorporation — certificate, LLPIN, Form 2.</t>
  </si>
  <si>
    <t xml:space="preserve">PAN</t>
  </si>
  <si>
    <t xml:space="preserve">kind: pan</t>
  </si>
  <si>
    <t xml:space="preserve">TAN</t>
  </si>
  <si>
    <t xml:space="preserve">kind: tan — required the day the first salary or contractor payment is made, for TDS.</t>
  </si>
  <si>
    <t xml:space="preserve">Registered Office</t>
  </si>
  <si>
    <t xml:space="preserve">kind: registered_office. No UFR field carries it today — LLP.office in slowspace.ts is prose. A change of registered office is Form 15; the mirror row exists below.</t>
  </si>
  <si>
    <t xml:space="preserve">Statutory Registers</t>
  </si>
  <si>
    <t xml:space="preserve">kind: register</t>
  </si>
  <si>
    <t xml:space="preserve">Digital Signatures</t>
  </si>
  <si>
    <t xml:space="preserve">kind: dsc — every designated partner needs one before any MCA filing can be made.</t>
  </si>
  <si>
    <t xml:space="preserve">Banking Authorities</t>
  </si>
  <si>
    <t xml:space="preserve">kind: banking_authority — WHO may operate the account. The account itself is Capital (CP.3).</t>
  </si>
  <si>
    <t xml:space="preserve">Authorised Signatories</t>
  </si>
  <si>
    <t xml:space="preserve">kind: signatory</t>
  </si>
  <si>
    <t xml:space="preserve">Enterprise Policies</t>
  </si>
  <si>
    <t xml:space="preserve">Governance Calendar</t>
  </si>
  <si>
    <t xml:space="preserve">union of every statutory due date below + every expiry-bearing record (insurance, warranties, DSC)</t>
  </si>
  <si>
    <t xml:space="preserve">Derived from the obligations, never kept by hand. A hand-kept calendar is the one document guaranteed to be wrong the year it matters.</t>
  </si>
  <si>
    <t xml:space="preserve">THE STATUTORY MIRROR</t>
  </si>
  <si>
    <t xml:space="preserve">Every obligation of an Indian LLP, mapped onto the ComplianceEvent object — the governance calendar is derived from these rows, never kept by hand.</t>
  </si>
  <si>
    <t xml:space="preserve">Ref</t>
  </si>
  <si>
    <t xml:space="preserve">Instrument</t>
  </si>
  <si>
    <t xml:space="preserve">What</t>
  </si>
  <si>
    <t xml:space="preserve">Applies when</t>
  </si>
  <si>
    <t xml:space="preserve">ST-01</t>
  </si>
  <si>
    <t xml:space="preserve">Form 3</t>
  </si>
  <si>
    <t xml:space="preserve">MCA</t>
  </si>
  <si>
    <t xml:space="preserve">File the LLP Agreement and any change to it.</t>
  </si>
  <si>
    <t xml:space="preserve">Within 30 days of incorporation or of the change</t>
  </si>
  <si>
    <t xml:space="preserve">always</t>
  </si>
  <si>
    <t xml:space="preserve">ST-02</t>
  </si>
  <si>
    <t xml:space="preserve">Form 11</t>
  </si>
  <si>
    <t xml:space="preserve">Annual Return — partners, contributions, changes in the year.</t>
  </si>
  <si>
    <t xml:space="preserve">Within 60 days of financial year end (by 30 May)</t>
  </si>
  <si>
    <t xml:space="preserve">ST-03</t>
  </si>
  <si>
    <t xml:space="preserve">Form 8</t>
  </si>
  <si>
    <t xml:space="preserve">Statement of Account &amp; Solvency — the accounts CP.9 produces, filed.</t>
  </si>
  <si>
    <t xml:space="preserve">By 30 October each year</t>
  </si>
  <si>
    <t xml:space="preserve">ST-04</t>
  </si>
  <si>
    <t xml:space="preserve">Statutory audit</t>
  </si>
  <si>
    <t xml:space="preserve">Audit of the accounts.</t>
  </si>
  <si>
    <t xml:space="preserve">Before Form 8</t>
  </si>
  <si>
    <t xml:space="preserve">turnover &gt; ₹40 lakh OR contribution &gt; ₹25 lakh — every GC vehicle crosses the second test at formation</t>
  </si>
  <si>
    <t xml:space="preserve">ST-05</t>
  </si>
  <si>
    <t xml:space="preserve">ITR-5</t>
  </si>
  <si>
    <t xml:space="preserve">Income Tax</t>
  </si>
  <si>
    <t xml:space="preserve">Income tax return of the LLP.</t>
  </si>
  <si>
    <t xml:space="preserve">31 July, or 31 October when audited — GC vehicles are audited, so 31 October</t>
  </si>
  <si>
    <t xml:space="preserve">ST-06</t>
  </si>
  <si>
    <t xml:space="preserve">TDS returns (24Q/26Q)</t>
  </si>
  <si>
    <t xml:space="preserve">Quarterly deduction returns against the TAN.</t>
  </si>
  <si>
    <t xml:space="preserve">any payment attracting TDS — contractor, professional fees, interest</t>
  </si>
  <si>
    <t xml:space="preserve">ST-07</t>
  </si>
  <si>
    <t xml:space="preserve">GST returns</t>
  </si>
  <si>
    <t xml:space="preserve">GST</t>
  </si>
  <si>
    <t xml:space="preserve">Registration and periodic returns.</t>
  </si>
  <si>
    <t xml:space="preserve">Monthly/quarterly per registration</t>
  </si>
  <si>
    <t xml:space="preserve">taxable supplies exceed the threshold — expected once operations begin</t>
  </si>
  <si>
    <t xml:space="preserve">ST-08</t>
  </si>
  <si>
    <t xml:space="preserve">Form 4</t>
  </si>
  <si>
    <t xml:space="preserve">Change of partner or designated partner.</t>
  </si>
  <si>
    <t xml:space="preserve">Within 30 days of the change</t>
  </si>
  <si>
    <t xml:space="preserve">on every admission, resignation or transfer — every settlement that admits a partner fires this</t>
  </si>
  <si>
    <t xml:space="preserve">ST-09</t>
  </si>
  <si>
    <t xml:space="preserve">Form 15</t>
  </si>
  <si>
    <t xml:space="preserve">Change of registered office.</t>
  </si>
  <si>
    <t xml:space="preserve">Within 30 days</t>
  </si>
  <si>
    <t xml:space="preserve">on relocation</t>
  </si>
  <si>
    <t xml:space="preserve">ST-10</t>
  </si>
  <si>
    <t xml:space="preserve">DIR-3 KYC</t>
  </si>
  <si>
    <t xml:space="preserve">Annual KYC of every designated partner's DPIN.</t>
  </si>
  <si>
    <t xml:space="preserve">By 30 September each year</t>
  </si>
  <si>
    <t xml:space="preserve">ST-11</t>
  </si>
  <si>
    <t xml:space="preserve">CRZ clearance conditions</t>
  </si>
  <si>
    <t xml:space="preserve">State</t>
  </si>
  <si>
    <t xml:space="preserve">Conditions attached to the Coastal Regulation Zone approval — the approval itself is a Property Document (SP.4).</t>
  </si>
  <si>
    <t xml:space="preserve">As conditioned</t>
  </si>
  <si>
    <t xml:space="preserve">coastal properties — SlowSpace Coastal is one</t>
  </si>
  <si>
    <t xml:space="preserve">§33 AMENDMENT QUEUE</t>
  </si>
  <si>
    <t xml:space="preserve">Candidate objects the model needs and the ratified 27 do not contain. Ratifying one moves its constituents from `registered` to `object` without restructuring anything. This is Decision D-18.</t>
  </si>
  <si>
    <t xml:space="preserve">needed by 2 constituent(s)</t>
  </si>
  <si>
    <t xml:space="preserve">needed by 1 constituent(s)</t>
  </si>
  <si>
    <t xml:space="preserve">needed by 3 constituent(s)</t>
  </si>
  <si>
    <t xml:space="preserve">needed by 5 constituent(s)</t>
  </si>
  <si>
    <t xml:space="preserve">needed by 9 constituent(s)</t>
  </si>
  <si>
    <t xml:space="preserve">needed by 8 constituent(s)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</si>
</sst>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b val="true"/>
      <sz val="10"/>
      <color rgb="FF177F43"/>
      <name val="Arial"/>
      <family val="0"/>
      <charset val="1"/>
    </font>
    <font>
      <b val="true"/>
      <sz val="10"/>
      <color rgb="FFBE4915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A0A0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77F43"/>
          <bgColor rgb="FF000000"/>
        </patternFill>
      </fill>
    </dxf>
    <dxf>
      <fill>
        <patternFill patternType="solid">
          <fgColor rgb="FFBE4915"/>
          <bgColor rgb="FF000000"/>
        </patternFill>
      </fill>
    </dxf>
    <dxf>
      <fill>
        <patternFill patternType="solid">
          <fgColor rgb="FF6B6B6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6635"/>
      <rgbColor rgb="FF800080"/>
      <rgbColor rgb="FF177F43"/>
      <rgbColor rgb="FFC79F6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061DE"/>
      <rgbColor rgb="FF33CCCC"/>
      <rgbColor rgb="FF99CC00"/>
      <rgbColor rgb="FFFFCC00"/>
      <rgbColor rgb="FFFF9900"/>
      <rgbColor rgb="FFE8672E"/>
      <rgbColor rgb="FF6B6B6B"/>
      <rgbColor rgb="FF9A9A9A"/>
      <rgbColor rgb="FF003366"/>
      <rgbColor rgb="FF339966"/>
      <rgbColor rgb="FF0C3024"/>
      <rgbColor rgb="FF0A0A0A"/>
      <rgbColor rgb="FFBE491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0A0A"/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4" t="s">
        <v>3</v>
      </c>
    </row>
    <row r="5" customFormat="false" ht="27.75" hidden="false" customHeight="tru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5"/>
      <c r="B6" s="4"/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5" t="s">
        <v>8</v>
      </c>
      <c r="B8" s="4" t="s">
        <v>9</v>
      </c>
    </row>
    <row r="9" customFormat="false" ht="15" hidden="false" customHeight="false" outlineLevel="0" collapsed="false">
      <c r="A9" s="5" t="s">
        <v>10</v>
      </c>
      <c r="B9" s="4" t="s">
        <v>11</v>
      </c>
    </row>
    <row r="10" customFormat="false" ht="27.75" hidden="false" customHeight="true" outlineLevel="0" collapsed="false">
      <c r="A10" s="5" t="s">
        <v>12</v>
      </c>
      <c r="B10" s="4" t="s">
        <v>13</v>
      </c>
    </row>
    <row r="11" customFormat="false" ht="15" hidden="false" customHeight="false" outlineLevel="0" collapsed="false">
      <c r="A11" s="5"/>
      <c r="B11" s="4"/>
    </row>
    <row r="12" customFormat="false" ht="15" hidden="false" customHeight="false" outlineLevel="0" collapsed="false">
      <c r="A12" s="3" t="s">
        <v>14</v>
      </c>
      <c r="B12" s="4"/>
    </row>
    <row r="13" customFormat="false" ht="15" hidden="false" customHeight="false" outlineLevel="0" collapsed="false">
      <c r="A13" s="5" t="s">
        <v>15</v>
      </c>
      <c r="B13" s="4" t="s">
        <v>16</v>
      </c>
    </row>
    <row r="14" customFormat="false" ht="27.75" hidden="false" customHeight="true" outlineLevel="0" collapsed="false">
      <c r="A14" s="5" t="s">
        <v>17</v>
      </c>
      <c r="B14" s="4" t="s">
        <v>18</v>
      </c>
    </row>
    <row r="15" customFormat="false" ht="15" hidden="false" customHeight="false" outlineLevel="0" collapsed="false">
      <c r="A15" s="5" t="s">
        <v>19</v>
      </c>
      <c r="B15" s="4" t="s">
        <v>20</v>
      </c>
    </row>
    <row r="16" customFormat="false" ht="15" hidden="false" customHeight="false" outlineLevel="0" collapsed="false">
      <c r="A16" s="5" t="s">
        <v>21</v>
      </c>
      <c r="B16" s="4" t="s">
        <v>22</v>
      </c>
    </row>
    <row r="17" customFormat="false" ht="15" hidden="false" customHeight="false" outlineLevel="0" collapsed="false">
      <c r="A17" s="5"/>
      <c r="B17" s="4"/>
    </row>
    <row r="18" customFormat="false" ht="27.75" hidden="false" customHeight="true" outlineLevel="0" collapsed="false">
      <c r="A18" s="3" t="s">
        <v>23</v>
      </c>
      <c r="B18" s="4" t="s">
        <v>24</v>
      </c>
    </row>
    <row r="19" customFormat="false" ht="15" hidden="false" customHeight="false" outlineLevel="0" collapsed="false">
      <c r="A19" s="5"/>
      <c r="B19" s="4"/>
    </row>
    <row r="20" customFormat="false" ht="27.75" hidden="false" customHeight="true" outlineLevel="0" collapsed="false">
      <c r="A20" s="3" t="s">
        <v>25</v>
      </c>
      <c r="B20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9F6B"/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62"/>
  </cols>
  <sheetData>
    <row r="1" customFormat="false" ht="19.7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23.85" hidden="false" customHeight="false" outlineLevel="0" collapsed="false">
      <c r="A4" s="3" t="s">
        <v>29</v>
      </c>
      <c r="E4" s="6" t="s">
        <v>30</v>
      </c>
    </row>
    <row r="5" customFormat="false" ht="15" hidden="false" customHeight="false" outlineLevel="0" collapsed="false">
      <c r="A5" s="7"/>
      <c r="B5" s="7" t="s">
        <v>31</v>
      </c>
      <c r="C5" s="7" t="s">
        <v>32</v>
      </c>
    </row>
    <row r="6" customFormat="false" ht="15" hidden="false" customHeight="false" outlineLevel="0" collapsed="false">
      <c r="A6" s="5" t="s">
        <v>33</v>
      </c>
      <c r="B6" s="5" t="n">
        <f aca="false">COUNTIF(IA!I$5:I$139,A6)</f>
        <v>51</v>
      </c>
      <c r="C6" s="8" t="n">
        <f aca="false">IFERROR(B6/$B$10,0)</f>
        <v>0.377777777777778</v>
      </c>
    </row>
    <row r="7" customFormat="false" ht="15" hidden="false" customHeight="false" outlineLevel="0" collapsed="false">
      <c r="A7" s="5" t="s">
        <v>34</v>
      </c>
      <c r="B7" s="5" t="n">
        <f aca="false">COUNTIF(IA!I$5:I$139,A7)</f>
        <v>82</v>
      </c>
      <c r="C7" s="8" t="n">
        <f aca="false">IFERROR(B7/$B$10,0)</f>
        <v>0.607407407407407</v>
      </c>
    </row>
    <row r="8" customFormat="false" ht="15" hidden="false" customHeight="false" outlineLevel="0" collapsed="false">
      <c r="A8" s="5" t="s">
        <v>35</v>
      </c>
      <c r="B8" s="5" t="n">
        <f aca="false">COUNTIF(IA!I$5:I$139,A8)</f>
        <v>2</v>
      </c>
      <c r="C8" s="8" t="n">
        <f aca="false">IFERROR(B8/$B$10,0)</f>
        <v>0.0148148148148148</v>
      </c>
    </row>
    <row r="9" customFormat="false" ht="15" hidden="false" customHeight="false" outlineLevel="0" collapsed="false">
      <c r="A9" s="5" t="s">
        <v>36</v>
      </c>
      <c r="B9" s="5" t="n">
        <f aca="false">COUNTIF(IA!I$5:I$139,A9)</f>
        <v>0</v>
      </c>
      <c r="C9" s="8" t="n">
        <f aca="false">IFERROR(B9/$B$10,0)</f>
        <v>0</v>
      </c>
    </row>
    <row r="10" customFormat="false" ht="15" hidden="false" customHeight="false" outlineLevel="0" collapsed="false">
      <c r="A10" s="3" t="s">
        <v>37</v>
      </c>
      <c r="B10" s="3" t="n">
        <f aca="false">SUM(B6:B9)</f>
        <v>135</v>
      </c>
      <c r="C10" s="9" t="n">
        <f aca="false">IFERROR(B10/$B$10,0)</f>
        <v>1</v>
      </c>
    </row>
    <row r="12" customFormat="false" ht="35.05" hidden="false" customHeight="false" outlineLevel="0" collapsed="false">
      <c r="A12" s="3" t="s">
        <v>38</v>
      </c>
      <c r="E12" s="6" t="s">
        <v>39</v>
      </c>
    </row>
    <row r="13" customFormat="false" ht="15" hidden="false" customHeight="false" outlineLevel="0" collapsed="false">
      <c r="A13" s="7"/>
      <c r="B13" s="7" t="s">
        <v>31</v>
      </c>
      <c r="C13" s="7" t="s">
        <v>32</v>
      </c>
    </row>
    <row r="14" customFormat="false" ht="15" hidden="false" customHeight="false" outlineLevel="0" collapsed="false">
      <c r="A14" s="5" t="s">
        <v>40</v>
      </c>
      <c r="B14" s="5" t="n">
        <f aca="false">COUNTIF(IA!E$5:E$139,A14)</f>
        <v>51</v>
      </c>
      <c r="C14" s="8" t="n">
        <f aca="false">IFERROR(B14/$B$19,0)</f>
        <v>0.377777777777778</v>
      </c>
    </row>
    <row r="15" customFormat="false" ht="15" hidden="false" customHeight="false" outlineLevel="0" collapsed="false">
      <c r="A15" s="5" t="s">
        <v>41</v>
      </c>
      <c r="B15" s="5" t="n">
        <f aca="false">COUNTIF(IA!E$5:E$139,A15)</f>
        <v>18</v>
      </c>
      <c r="C15" s="8" t="n">
        <f aca="false">IFERROR(B15/$B$19,0)</f>
        <v>0.133333333333333</v>
      </c>
    </row>
    <row r="16" customFormat="false" ht="15" hidden="false" customHeight="false" outlineLevel="0" collapsed="false">
      <c r="A16" s="5" t="s">
        <v>42</v>
      </c>
      <c r="B16" s="5" t="n">
        <f aca="false">COUNTIF(IA!E$5:E$139,A16)</f>
        <v>3</v>
      </c>
      <c r="C16" s="8" t="n">
        <f aca="false">IFERROR(B16/$B$19,0)</f>
        <v>0.0222222222222222</v>
      </c>
    </row>
    <row r="17" customFormat="false" ht="15" hidden="false" customHeight="false" outlineLevel="0" collapsed="false">
      <c r="A17" s="5" t="s">
        <v>43</v>
      </c>
      <c r="B17" s="5" t="n">
        <f aca="false">COUNTIF(IA!E$5:E$139,A17)</f>
        <v>26</v>
      </c>
      <c r="C17" s="8" t="n">
        <f aca="false">IFERROR(B17/$B$19,0)</f>
        <v>0.192592592592593</v>
      </c>
    </row>
    <row r="18" customFormat="false" ht="15" hidden="false" customHeight="false" outlineLevel="0" collapsed="false">
      <c r="A18" s="5" t="s">
        <v>44</v>
      </c>
      <c r="B18" s="5" t="n">
        <f aca="false">COUNTIF(IA!E$5:E$139,A18)</f>
        <v>37</v>
      </c>
      <c r="C18" s="8" t="n">
        <f aca="false">IFERROR(B18/$B$19,0)</f>
        <v>0.274074074074074</v>
      </c>
    </row>
    <row r="19" customFormat="false" ht="15" hidden="false" customHeight="false" outlineLevel="0" collapsed="false">
      <c r="A19" s="3" t="s">
        <v>37</v>
      </c>
      <c r="B19" s="3" t="n">
        <f aca="false">SUM(B14:B18)</f>
        <v>135</v>
      </c>
      <c r="C19" s="9" t="n">
        <f aca="false">IFERROR(B19/$B$19,0)</f>
        <v>1</v>
      </c>
    </row>
    <row r="21" customFormat="false" ht="15" hidden="false" customHeight="false" outlineLevel="0" collapsed="false">
      <c r="A21" s="3" t="s">
        <v>45</v>
      </c>
    </row>
    <row r="22" customFormat="false" ht="15" hidden="false" customHeight="false" outlineLevel="0" collapsed="false">
      <c r="A22" s="7"/>
      <c r="B22" s="7" t="s">
        <v>31</v>
      </c>
      <c r="C22" s="7" t="s">
        <v>32</v>
      </c>
    </row>
    <row r="23" customFormat="false" ht="15" hidden="false" customHeight="false" outlineLevel="0" collapsed="false">
      <c r="A23" s="5" t="s">
        <v>46</v>
      </c>
      <c r="B23" s="5" t="n">
        <f aca="false">COUNTIF(IA!C$5:C$139,A23)</f>
        <v>37</v>
      </c>
      <c r="C23" s="8" t="n">
        <f aca="false">IFERROR(B23/$B$29,0)</f>
        <v>0.274074074074074</v>
      </c>
    </row>
    <row r="24" customFormat="false" ht="15" hidden="false" customHeight="false" outlineLevel="0" collapsed="false">
      <c r="A24" s="5" t="s">
        <v>47</v>
      </c>
      <c r="B24" s="5" t="n">
        <f aca="false">COUNTIF(IA!C$5:C$139,A24)</f>
        <v>7</v>
      </c>
      <c r="C24" s="8" t="n">
        <f aca="false">IFERROR(B24/$B$29,0)</f>
        <v>0.0518518518518519</v>
      </c>
    </row>
    <row r="25" customFormat="false" ht="15" hidden="false" customHeight="false" outlineLevel="0" collapsed="false">
      <c r="A25" s="5" t="s">
        <v>48</v>
      </c>
      <c r="B25" s="5" t="n">
        <f aca="false">COUNTIF(IA!C$5:C$139,A25)</f>
        <v>18</v>
      </c>
      <c r="C25" s="8" t="n">
        <f aca="false">IFERROR(B25/$B$29,0)</f>
        <v>0.133333333333333</v>
      </c>
    </row>
    <row r="26" customFormat="false" ht="15" hidden="false" customHeight="false" outlineLevel="0" collapsed="false">
      <c r="A26" s="5" t="s">
        <v>49</v>
      </c>
      <c r="B26" s="5" t="n">
        <f aca="false">COUNTIF(IA!C$5:C$139,A26)</f>
        <v>2</v>
      </c>
      <c r="C26" s="8" t="n">
        <f aca="false">IFERROR(B26/$B$29,0)</f>
        <v>0.0148148148148148</v>
      </c>
    </row>
    <row r="27" customFormat="false" ht="15" hidden="false" customHeight="false" outlineLevel="0" collapsed="false">
      <c r="A27" s="5" t="s">
        <v>43</v>
      </c>
      <c r="B27" s="5" t="n">
        <f aca="false">COUNTIF(IA!C$5:C$139,A27)</f>
        <v>42</v>
      </c>
      <c r="C27" s="8" t="n">
        <f aca="false">IFERROR(B27/$B$29,0)</f>
        <v>0.311111111111111</v>
      </c>
    </row>
    <row r="28" customFormat="false" ht="15" hidden="false" customHeight="false" outlineLevel="0" collapsed="false">
      <c r="A28" s="5" t="s">
        <v>50</v>
      </c>
      <c r="B28" s="5" t="n">
        <f aca="false">COUNTIF(IA!C$5:C$139,A28)</f>
        <v>29</v>
      </c>
      <c r="C28" s="8" t="n">
        <f aca="false">IFERROR(B28/$B$29,0)</f>
        <v>0.214814814814815</v>
      </c>
    </row>
    <row r="29" customFormat="false" ht="15" hidden="false" customHeight="false" outlineLevel="0" collapsed="false">
      <c r="A29" s="3" t="s">
        <v>37</v>
      </c>
      <c r="B29" s="3" t="n">
        <f aca="false">SUM(B23:B28)</f>
        <v>135</v>
      </c>
      <c r="C29" s="9" t="n">
        <f aca="false">IFERROR(B29/$B$29,0)</f>
        <v>1</v>
      </c>
    </row>
    <row r="31" customFormat="false" ht="15" hidden="false" customHeight="false" outlineLevel="0" collapsed="false">
      <c r="A31" s="3" t="s">
        <v>51</v>
      </c>
    </row>
    <row r="32" customFormat="false" ht="15" hidden="false" customHeight="false" outlineLevel="0" collapsed="false">
      <c r="A32" s="5" t="s">
        <v>52</v>
      </c>
      <c r="B32" s="5" t="n">
        <f aca="false">COUNTIFS(IA!$E$5:$E$139,"public",IA!$I$5:$I$139,"Built")</f>
        <v>41</v>
      </c>
      <c r="E32" s="6" t="s">
        <v>53</v>
      </c>
    </row>
    <row r="33" customFormat="false" ht="23.85" hidden="false" customHeight="false" outlineLevel="0" collapsed="false">
      <c r="A33" s="5" t="s">
        <v>54</v>
      </c>
      <c r="B33" s="5" t="n">
        <f aca="false">COUNTIFS(IA!$E$5:$E$139,"public",IA!$I$5:$I$139,"Scaffold")</f>
        <v>8</v>
      </c>
      <c r="E33" s="6" t="s">
        <v>55</v>
      </c>
    </row>
    <row r="34" customFormat="false" ht="23.85" hidden="false" customHeight="false" outlineLevel="0" collapsed="false">
      <c r="A34" s="5" t="s">
        <v>56</v>
      </c>
      <c r="B34" s="5" t="n">
        <f aca="false">COUNTIF(IA!$F$5:$F$139,"yes")</f>
        <v>51</v>
      </c>
      <c r="E34" s="6" t="s">
        <v>57</v>
      </c>
    </row>
    <row r="35" customFormat="false" ht="15" hidden="false" customHeight="false" outlineLevel="0" collapsed="false">
      <c r="A35" s="5" t="s">
        <v>58</v>
      </c>
      <c r="B35" s="5" t="n">
        <f aca="false">COUNTIFS(IA!$L$5:$L$139,"&lt;&gt;",IA!$E$5:$E$139,"office")</f>
        <v>37</v>
      </c>
      <c r="E35" s="6" t="s">
        <v>59</v>
      </c>
    </row>
    <row r="36" customFormat="false" ht="15" hidden="false" customHeight="false" outlineLevel="0" collapsed="false">
      <c r="A36" s="5" t="s">
        <v>60</v>
      </c>
      <c r="B36" s="5" t="n">
        <f aca="false">COUNTIF(IA!$M$5:$M$139,"&lt;&gt;")</f>
        <v>29</v>
      </c>
      <c r="E36" s="6" t="s">
        <v>61</v>
      </c>
    </row>
    <row r="37" customFormat="false" ht="15" hidden="false" customHeight="false" outlineLevel="0" collapsed="false">
      <c r="A37" s="5" t="s">
        <v>62</v>
      </c>
      <c r="B37" s="5" t="n">
        <f aca="false">COUNTIF(IA!$N$5:$N$139,"&lt;&gt;")</f>
        <v>27</v>
      </c>
      <c r="E37" s="6" t="s">
        <v>63</v>
      </c>
    </row>
    <row r="39" customFormat="false" ht="15" hidden="false" customHeight="false" outlineLevel="0" collapsed="false">
      <c r="A39" s="3" t="s">
        <v>64</v>
      </c>
    </row>
    <row r="40" customFormat="false" ht="15" hidden="false" customHeight="false" outlineLevel="0" collapsed="false">
      <c r="A40" s="5" t="s">
        <v>65</v>
      </c>
      <c r="B40" s="5" t="n">
        <f aca="false">COUNTIF(Popups!$F$5:$F$40,"Built")</f>
        <v>2</v>
      </c>
    </row>
    <row r="41" customFormat="false" ht="15" hidden="false" customHeight="false" outlineLevel="0" collapsed="false">
      <c r="A41" s="5" t="s">
        <v>66</v>
      </c>
      <c r="B41" s="5" t="n">
        <f aca="false">COUNTIF(Popups!$F$5:$F$40,"N/A")</f>
        <v>1</v>
      </c>
    </row>
    <row r="42" customFormat="false" ht="15" hidden="false" customHeight="false" outlineLevel="0" collapsed="false">
      <c r="A42" s="5" t="s">
        <v>67</v>
      </c>
      <c r="B42" s="5" t="n">
        <f aca="false">COUNTIF(Popups!$F$5:$F$40,"Not built")</f>
        <v>7</v>
      </c>
    </row>
    <row r="43" customFormat="false" ht="15" hidden="false" customHeight="false" outlineLevel="0" collapsed="false">
      <c r="A43" s="5" t="s">
        <v>68</v>
      </c>
      <c r="B43" s="5" t="n">
        <f aca="false">COUNTIF(Notifications!$G$5:$G$60,"Live")</f>
        <v>1</v>
      </c>
    </row>
    <row r="44" customFormat="false" ht="15" hidden="false" customHeight="false" outlineLevel="0" collapsed="false">
      <c r="A44" s="5" t="s">
        <v>69</v>
      </c>
      <c r="B44" s="5" t="n">
        <f aca="false">COUNTIF(Notifications!$G$5:$G$60,"Not built")</f>
        <v>16</v>
      </c>
    </row>
    <row r="45" customFormat="false" ht="15" hidden="false" customHeight="false" outlineLevel="0" collapsed="false">
      <c r="A45" s="5" t="s">
        <v>70</v>
      </c>
      <c r="B45" s="5" t="n">
        <f aca="false">COUNTIF(Emails!$G$5:$G$60,"Live")</f>
        <v>2</v>
      </c>
    </row>
    <row r="46" customFormat="false" ht="15" hidden="false" customHeight="false" outlineLevel="0" collapsed="false">
      <c r="A46" s="5" t="s">
        <v>71</v>
      </c>
      <c r="B46" s="5" t="n">
        <f aca="false">COUNTIF(Emails!$G$5:$G$60,"Not built")</f>
        <v>16</v>
      </c>
    </row>
    <row r="47" customFormat="false" ht="15" hidden="false" customHeight="false" outlineLevel="0" collapsed="false">
      <c r="A47" s="5" t="s">
        <v>72</v>
      </c>
      <c r="B47" s="5" t="n">
        <f aca="false">COUNTIF(Gaps!$G$5:$G$60,"Open")</f>
        <v>18</v>
      </c>
    </row>
    <row r="48" customFormat="false" ht="15" hidden="false" customHeight="false" outlineLevel="0" collapsed="false">
      <c r="A48" s="5" t="s">
        <v>73</v>
      </c>
      <c r="B48" s="5" t="n">
        <f aca="false">COUNTIF(Decisions!$H$5:$H$60,"Open")</f>
        <v>19</v>
      </c>
    </row>
    <row r="49" customFormat="false" ht="15" hidden="false" customHeight="false" outlineLevel="0" collapsed="false">
      <c r="A49" s="5" t="s">
        <v>74</v>
      </c>
      <c r="B49" s="5" t="n">
        <f aca="false">COUNTIF(Assets!$I$5:$I$80,"Not supplied")</f>
        <v>24</v>
      </c>
    </row>
    <row r="50" customFormat="false" ht="15" hidden="false" customHeight="false" outlineLevel="0" collapsed="false">
      <c r="A50" s="5" t="s">
        <v>75</v>
      </c>
      <c r="B50" s="5" t="n">
        <f aca="false">COUNTIF(Domain!$D$5:$D$120,"object")+COUNTIF(Domain!$D$5:$D$120,"field")+COUNTIF(Domain!$D$5:$D$120,"derived")+COUNTIF(Domain!$D$5:$D$120,"code")+COUNTIF(Domain!$D$5:$D$120,"registered")+COUNTIF(Domain!$D$5:$D$120,"outOfScope")</f>
        <v>76</v>
      </c>
    </row>
    <row r="51" customFormat="false" ht="15" hidden="false" customHeight="false" outlineLevel="0" collapsed="false">
      <c r="A51" s="5" t="s">
        <v>76</v>
      </c>
      <c r="B51" s="5" t="n">
        <f aca="false">COUNTIF(Domain!$D$5:$D$120,"object")+COUNTIF(Domain!$D$5:$D$120,"field")</f>
        <v>25</v>
      </c>
    </row>
    <row r="52" customFormat="false" ht="15" hidden="false" customHeight="false" outlineLevel="0" collapsed="false">
      <c r="A52" s="5" t="s">
        <v>77</v>
      </c>
      <c r="B52" s="5" t="n">
        <f aca="false">COUNTIF(Domain!$D$5:$D$120,"derived")+COUNTIF(Domain!$D$5:$D$120,"code")</f>
        <v>10</v>
      </c>
    </row>
    <row r="53" customFormat="false" ht="15" hidden="false" customHeight="false" outlineLevel="0" collapsed="false">
      <c r="A53" s="5" t="s">
        <v>78</v>
      </c>
      <c r="B53" s="5" t="n">
        <f aca="false">COUNTIF(Domain!$D$5:$D$120,"registered")</f>
        <v>38</v>
      </c>
    </row>
    <row r="54" customFormat="false" ht="15" hidden="false" customHeight="false" outlineLevel="0" collapsed="false">
      <c r="A54" s="5" t="s">
        <v>79</v>
      </c>
      <c r="B54" s="5" t="n">
        <f aca="false">COUNTIF(Domain!$D$5:$D$120,"outOfScope")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061DE"/>
    <pageSetUpPr fitToPage="false"/>
  </sheetPr>
  <dimension ref="A1:O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26"/>
    <col collapsed="false" customWidth="true" hidden="false" outlineLevel="0" max="9" min="9" style="0" width="11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12"/>
    <col collapsed="false" customWidth="true" hidden="false" outlineLevel="0" max="14" min="14" style="0" width="46"/>
    <col collapsed="false" customWidth="true" hidden="false" outlineLevel="0" max="15" min="15" style="0" width="62"/>
  </cols>
  <sheetData>
    <row r="1" customFormat="false" ht="19.7" hidden="false" customHeight="false" outlineLevel="0" collapsed="false">
      <c r="A1" s="1" t="s">
        <v>80</v>
      </c>
    </row>
    <row r="2" customFormat="false" ht="30" hidden="false" customHeight="true" outlineLevel="0" collapsed="false">
      <c r="A2" s="10" t="s">
        <v>81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customFormat="false" ht="27.75" hidden="false" customHeight="true" outlineLevel="0" collapsed="false">
      <c r="A4" s="11" t="s">
        <v>82</v>
      </c>
      <c r="B4" s="11" t="s">
        <v>83</v>
      </c>
      <c r="C4" s="11" t="s">
        <v>84</v>
      </c>
      <c r="D4" s="11" t="s">
        <v>85</v>
      </c>
      <c r="E4" s="11" t="s">
        <v>86</v>
      </c>
      <c r="F4" s="11" t="s">
        <v>56</v>
      </c>
      <c r="G4" s="11" t="s">
        <v>87</v>
      </c>
      <c r="H4" s="11" t="s">
        <v>88</v>
      </c>
      <c r="I4" s="11" t="s">
        <v>89</v>
      </c>
      <c r="J4" s="11" t="s">
        <v>90</v>
      </c>
      <c r="K4" s="11" t="s">
        <v>91</v>
      </c>
      <c r="L4" s="11" t="s">
        <v>92</v>
      </c>
      <c r="M4" s="11" t="s">
        <v>93</v>
      </c>
      <c r="N4" s="11" t="s">
        <v>94</v>
      </c>
      <c r="O4" s="11" t="s">
        <v>95</v>
      </c>
    </row>
    <row r="5" customFormat="false" ht="15" hidden="false" customHeight="false" outlineLevel="0" collapsed="false">
      <c r="A5" s="12" t="s">
        <v>96</v>
      </c>
      <c r="B5" s="13" t="s">
        <v>97</v>
      </c>
      <c r="C5" s="13" t="s">
        <v>46</v>
      </c>
      <c r="D5" s="13" t="s">
        <v>46</v>
      </c>
      <c r="E5" s="13" t="s">
        <v>40</v>
      </c>
      <c r="F5" s="13" t="s">
        <v>98</v>
      </c>
      <c r="G5" s="13" t="s">
        <v>99</v>
      </c>
      <c r="H5" s="13" t="s">
        <v>100</v>
      </c>
      <c r="I5" s="14" t="s">
        <v>33</v>
      </c>
      <c r="J5" s="13" t="s">
        <v>101</v>
      </c>
      <c r="K5" s="13" t="s">
        <v>102</v>
      </c>
      <c r="L5" s="13"/>
      <c r="M5" s="13"/>
      <c r="N5" s="15"/>
      <c r="O5" s="15" t="s">
        <v>103</v>
      </c>
    </row>
    <row r="6" customFormat="false" ht="23.85" hidden="false" customHeight="false" outlineLevel="0" collapsed="false">
      <c r="A6" s="16" t="s">
        <v>104</v>
      </c>
      <c r="B6" s="17" t="s">
        <v>105</v>
      </c>
      <c r="C6" s="17" t="s">
        <v>46</v>
      </c>
      <c r="D6" s="17" t="s">
        <v>46</v>
      </c>
      <c r="E6" s="17" t="s">
        <v>40</v>
      </c>
      <c r="F6" s="17" t="s">
        <v>98</v>
      </c>
      <c r="G6" s="17" t="s">
        <v>106</v>
      </c>
      <c r="H6" s="17" t="s">
        <v>107</v>
      </c>
      <c r="I6" s="18" t="s">
        <v>34</v>
      </c>
      <c r="J6" s="17" t="s">
        <v>108</v>
      </c>
      <c r="K6" s="17"/>
      <c r="L6" s="17"/>
      <c r="M6" s="17"/>
      <c r="N6" s="19"/>
      <c r="O6" s="19" t="s">
        <v>109</v>
      </c>
    </row>
    <row r="7" customFormat="false" ht="23.85" hidden="false" customHeight="false" outlineLevel="0" collapsed="false">
      <c r="A7" s="12" t="s">
        <v>110</v>
      </c>
      <c r="B7" s="13" t="s">
        <v>111</v>
      </c>
      <c r="C7" s="13" t="s">
        <v>46</v>
      </c>
      <c r="D7" s="13" t="s">
        <v>46</v>
      </c>
      <c r="E7" s="13" t="s">
        <v>40</v>
      </c>
      <c r="F7" s="13" t="s">
        <v>98</v>
      </c>
      <c r="G7" s="13" t="s">
        <v>106</v>
      </c>
      <c r="H7" s="13" t="s">
        <v>107</v>
      </c>
      <c r="I7" s="13" t="s">
        <v>35</v>
      </c>
      <c r="J7" s="13"/>
      <c r="K7" s="13"/>
      <c r="L7" s="13"/>
      <c r="M7" s="13"/>
      <c r="N7" s="15"/>
      <c r="O7" s="15" t="s">
        <v>112</v>
      </c>
    </row>
    <row r="8" customFormat="false" ht="23.85" hidden="false" customHeight="false" outlineLevel="0" collapsed="false">
      <c r="A8" s="16" t="s">
        <v>113</v>
      </c>
      <c r="B8" s="17" t="s">
        <v>114</v>
      </c>
      <c r="C8" s="17" t="s">
        <v>46</v>
      </c>
      <c r="D8" s="17" t="s">
        <v>46</v>
      </c>
      <c r="E8" s="17" t="s">
        <v>40</v>
      </c>
      <c r="F8" s="17" t="s">
        <v>98</v>
      </c>
      <c r="G8" s="17" t="s">
        <v>106</v>
      </c>
      <c r="H8" s="17" t="s">
        <v>107</v>
      </c>
      <c r="I8" s="17" t="s">
        <v>35</v>
      </c>
      <c r="J8" s="17"/>
      <c r="K8" s="17"/>
      <c r="L8" s="17"/>
      <c r="M8" s="17"/>
      <c r="N8" s="19"/>
      <c r="O8" s="19" t="s">
        <v>115</v>
      </c>
    </row>
    <row r="9" customFormat="false" ht="15" hidden="false" customHeight="false" outlineLevel="0" collapsed="false">
      <c r="A9" s="12" t="s">
        <v>116</v>
      </c>
      <c r="B9" s="13" t="s">
        <v>117</v>
      </c>
      <c r="C9" s="13" t="s">
        <v>46</v>
      </c>
      <c r="D9" s="13" t="s">
        <v>46</v>
      </c>
      <c r="E9" s="13" t="s">
        <v>40</v>
      </c>
      <c r="F9" s="13" t="s">
        <v>98</v>
      </c>
      <c r="G9" s="13" t="s">
        <v>118</v>
      </c>
      <c r="H9" s="13" t="s">
        <v>119</v>
      </c>
      <c r="I9" s="14" t="s">
        <v>33</v>
      </c>
      <c r="J9" s="13" t="s">
        <v>117</v>
      </c>
      <c r="K9" s="13" t="s">
        <v>120</v>
      </c>
      <c r="L9" s="13"/>
      <c r="M9" s="13"/>
      <c r="N9" s="15"/>
      <c r="O9" s="15"/>
    </row>
    <row r="10" customFormat="false" ht="15" hidden="false" customHeight="false" outlineLevel="0" collapsed="false">
      <c r="A10" s="16" t="s">
        <v>121</v>
      </c>
      <c r="B10" s="17" t="s">
        <v>122</v>
      </c>
      <c r="C10" s="17" t="s">
        <v>46</v>
      </c>
      <c r="D10" s="17" t="s">
        <v>46</v>
      </c>
      <c r="E10" s="17" t="s">
        <v>40</v>
      </c>
      <c r="F10" s="17" t="s">
        <v>98</v>
      </c>
      <c r="G10" s="17" t="s">
        <v>99</v>
      </c>
      <c r="H10" s="17" t="s">
        <v>100</v>
      </c>
      <c r="I10" s="20" t="s">
        <v>33</v>
      </c>
      <c r="J10" s="17" t="s">
        <v>122</v>
      </c>
      <c r="K10" s="17" t="s">
        <v>102</v>
      </c>
      <c r="L10" s="17"/>
      <c r="M10" s="17"/>
      <c r="N10" s="19"/>
      <c r="O10" s="19" t="s">
        <v>123</v>
      </c>
    </row>
    <row r="11" customFormat="false" ht="15" hidden="false" customHeight="false" outlineLevel="0" collapsed="false">
      <c r="A11" s="12" t="s">
        <v>124</v>
      </c>
      <c r="B11" s="13" t="s">
        <v>125</v>
      </c>
      <c r="C11" s="13" t="s">
        <v>46</v>
      </c>
      <c r="D11" s="13" t="s">
        <v>46</v>
      </c>
      <c r="E11" s="13" t="s">
        <v>40</v>
      </c>
      <c r="F11" s="13" t="s">
        <v>98</v>
      </c>
      <c r="G11" s="13"/>
      <c r="H11" s="13"/>
      <c r="I11" s="21" t="s">
        <v>34</v>
      </c>
      <c r="J11" s="13" t="s">
        <v>108</v>
      </c>
      <c r="K11" s="13"/>
      <c r="L11" s="13"/>
      <c r="M11" s="13"/>
      <c r="N11" s="15"/>
      <c r="O11" s="15"/>
    </row>
    <row r="12" customFormat="false" ht="57.45" hidden="false" customHeight="false" outlineLevel="0" collapsed="false">
      <c r="A12" s="16" t="s">
        <v>126</v>
      </c>
      <c r="B12" s="17" t="s">
        <v>127</v>
      </c>
      <c r="C12" s="17" t="s">
        <v>46</v>
      </c>
      <c r="D12" s="17" t="s">
        <v>46</v>
      </c>
      <c r="E12" s="17" t="s">
        <v>40</v>
      </c>
      <c r="F12" s="17" t="s">
        <v>98</v>
      </c>
      <c r="G12" s="17"/>
      <c r="H12" s="17"/>
      <c r="I12" s="18" t="s">
        <v>34</v>
      </c>
      <c r="J12" s="17" t="s">
        <v>108</v>
      </c>
      <c r="K12" s="17"/>
      <c r="L12" s="17"/>
      <c r="M12" s="17"/>
      <c r="N12" s="19"/>
      <c r="O12" s="19" t="s">
        <v>128</v>
      </c>
    </row>
    <row r="13" customFormat="false" ht="15" hidden="false" customHeight="false" outlineLevel="0" collapsed="false">
      <c r="A13" s="12" t="s">
        <v>129</v>
      </c>
      <c r="B13" s="13" t="s">
        <v>130</v>
      </c>
      <c r="C13" s="13" t="s">
        <v>46</v>
      </c>
      <c r="D13" s="13" t="s">
        <v>46</v>
      </c>
      <c r="E13" s="13" t="s">
        <v>40</v>
      </c>
      <c r="F13" s="13" t="s">
        <v>98</v>
      </c>
      <c r="G13" s="13" t="s">
        <v>131</v>
      </c>
      <c r="H13" s="13" t="s">
        <v>132</v>
      </c>
      <c r="I13" s="14" t="s">
        <v>33</v>
      </c>
      <c r="J13" s="13" t="s">
        <v>133</v>
      </c>
      <c r="K13" s="13" t="s">
        <v>46</v>
      </c>
      <c r="L13" s="13"/>
      <c r="M13" s="13"/>
      <c r="N13" s="15"/>
      <c r="O13" s="15"/>
    </row>
    <row r="14" customFormat="false" ht="46.25" hidden="false" customHeight="false" outlineLevel="0" collapsed="false">
      <c r="A14" s="16" t="s">
        <v>134</v>
      </c>
      <c r="B14" s="17" t="s">
        <v>135</v>
      </c>
      <c r="C14" s="17" t="s">
        <v>46</v>
      </c>
      <c r="D14" s="17" t="s">
        <v>46</v>
      </c>
      <c r="E14" s="17" t="s">
        <v>40</v>
      </c>
      <c r="F14" s="17" t="s">
        <v>98</v>
      </c>
      <c r="G14" s="17" t="s">
        <v>99</v>
      </c>
      <c r="H14" s="17" t="s">
        <v>100</v>
      </c>
      <c r="I14" s="20" t="s">
        <v>33</v>
      </c>
      <c r="J14" s="17" t="s">
        <v>136</v>
      </c>
      <c r="K14" s="17" t="s">
        <v>102</v>
      </c>
      <c r="L14" s="17"/>
      <c r="M14" s="17"/>
      <c r="N14" s="19"/>
      <c r="O14" s="19" t="s">
        <v>137</v>
      </c>
    </row>
    <row r="15" customFormat="false" ht="15" hidden="false" customHeight="false" outlineLevel="0" collapsed="false">
      <c r="A15" s="12" t="s">
        <v>138</v>
      </c>
      <c r="B15" s="13" t="s">
        <v>139</v>
      </c>
      <c r="C15" s="13" t="s">
        <v>46</v>
      </c>
      <c r="D15" s="13" t="s">
        <v>46</v>
      </c>
      <c r="E15" s="13" t="s">
        <v>40</v>
      </c>
      <c r="F15" s="13" t="s">
        <v>98</v>
      </c>
      <c r="G15" s="13" t="s">
        <v>99</v>
      </c>
      <c r="H15" s="13" t="s">
        <v>100</v>
      </c>
      <c r="I15" s="14" t="s">
        <v>33</v>
      </c>
      <c r="J15" s="13" t="s">
        <v>140</v>
      </c>
      <c r="K15" s="13" t="s">
        <v>102</v>
      </c>
      <c r="L15" s="13"/>
      <c r="M15" s="13"/>
      <c r="N15" s="15"/>
      <c r="O15" s="15" t="s">
        <v>141</v>
      </c>
    </row>
    <row r="16" customFormat="false" ht="23.85" hidden="false" customHeight="false" outlineLevel="0" collapsed="false">
      <c r="A16" s="16" t="s">
        <v>142</v>
      </c>
      <c r="B16" s="17" t="s">
        <v>143</v>
      </c>
      <c r="C16" s="17" t="s">
        <v>46</v>
      </c>
      <c r="D16" s="17" t="s">
        <v>46</v>
      </c>
      <c r="E16" s="17" t="s">
        <v>40</v>
      </c>
      <c r="F16" s="17" t="s">
        <v>98</v>
      </c>
      <c r="G16" s="17" t="s">
        <v>99</v>
      </c>
      <c r="H16" s="17" t="s">
        <v>100</v>
      </c>
      <c r="I16" s="20" t="s">
        <v>33</v>
      </c>
      <c r="J16" s="17" t="s">
        <v>144</v>
      </c>
      <c r="K16" s="17" t="s">
        <v>102</v>
      </c>
      <c r="L16" s="17"/>
      <c r="M16" s="17"/>
      <c r="N16" s="19"/>
      <c r="O16" s="19" t="s">
        <v>145</v>
      </c>
    </row>
    <row r="17" customFormat="false" ht="35.05" hidden="false" customHeight="false" outlineLevel="0" collapsed="false">
      <c r="A17" s="12" t="s">
        <v>146</v>
      </c>
      <c r="B17" s="13" t="s">
        <v>147</v>
      </c>
      <c r="C17" s="13" t="s">
        <v>46</v>
      </c>
      <c r="D17" s="13" t="s">
        <v>46</v>
      </c>
      <c r="E17" s="13" t="s">
        <v>40</v>
      </c>
      <c r="F17" s="13" t="s">
        <v>98</v>
      </c>
      <c r="G17" s="13" t="s">
        <v>99</v>
      </c>
      <c r="H17" s="13" t="s">
        <v>100</v>
      </c>
      <c r="I17" s="14" t="s">
        <v>33</v>
      </c>
      <c r="J17" s="13" t="s">
        <v>148</v>
      </c>
      <c r="K17" s="13" t="s">
        <v>102</v>
      </c>
      <c r="L17" s="13"/>
      <c r="M17" s="13"/>
      <c r="N17" s="15"/>
      <c r="O17" s="15" t="s">
        <v>149</v>
      </c>
    </row>
    <row r="18" customFormat="false" ht="23.85" hidden="false" customHeight="false" outlineLevel="0" collapsed="false">
      <c r="A18" s="16" t="s">
        <v>150</v>
      </c>
      <c r="B18" s="17" t="s">
        <v>151</v>
      </c>
      <c r="C18" s="17" t="s">
        <v>46</v>
      </c>
      <c r="D18" s="17" t="s">
        <v>46</v>
      </c>
      <c r="E18" s="17" t="s">
        <v>40</v>
      </c>
      <c r="F18" s="17" t="s">
        <v>98</v>
      </c>
      <c r="G18" s="17" t="s">
        <v>99</v>
      </c>
      <c r="H18" s="17" t="s">
        <v>100</v>
      </c>
      <c r="I18" s="20" t="s">
        <v>33</v>
      </c>
      <c r="J18" s="17" t="s">
        <v>152</v>
      </c>
      <c r="K18" s="17" t="s">
        <v>102</v>
      </c>
      <c r="L18" s="17"/>
      <c r="M18" s="17"/>
      <c r="N18" s="19"/>
      <c r="O18" s="19" t="s">
        <v>153</v>
      </c>
    </row>
    <row r="19" customFormat="false" ht="15" hidden="false" customHeight="false" outlineLevel="0" collapsed="false">
      <c r="A19" s="12" t="s">
        <v>154</v>
      </c>
      <c r="B19" s="13" t="s">
        <v>155</v>
      </c>
      <c r="C19" s="13" t="s">
        <v>46</v>
      </c>
      <c r="D19" s="13" t="s">
        <v>46</v>
      </c>
      <c r="E19" s="13" t="s">
        <v>40</v>
      </c>
      <c r="F19" s="13" t="s">
        <v>98</v>
      </c>
      <c r="G19" s="13" t="s">
        <v>156</v>
      </c>
      <c r="H19" s="13" t="s">
        <v>157</v>
      </c>
      <c r="I19" s="14" t="s">
        <v>33</v>
      </c>
      <c r="J19" s="13" t="s">
        <v>155</v>
      </c>
      <c r="K19" s="13" t="s">
        <v>120</v>
      </c>
      <c r="L19" s="13"/>
      <c r="M19" s="13"/>
      <c r="N19" s="15"/>
      <c r="O19" s="15"/>
    </row>
    <row r="20" customFormat="false" ht="35.05" hidden="false" customHeight="false" outlineLevel="0" collapsed="false">
      <c r="A20" s="16" t="s">
        <v>158</v>
      </c>
      <c r="B20" s="17" t="s">
        <v>159</v>
      </c>
      <c r="C20" s="17" t="s">
        <v>46</v>
      </c>
      <c r="D20" s="17" t="s">
        <v>46</v>
      </c>
      <c r="E20" s="17" t="s">
        <v>40</v>
      </c>
      <c r="F20" s="17" t="s">
        <v>98</v>
      </c>
      <c r="G20" s="17" t="s">
        <v>99</v>
      </c>
      <c r="H20" s="17" t="s">
        <v>100</v>
      </c>
      <c r="I20" s="20" t="s">
        <v>33</v>
      </c>
      <c r="J20" s="17" t="s">
        <v>160</v>
      </c>
      <c r="K20" s="17" t="s">
        <v>102</v>
      </c>
      <c r="L20" s="17"/>
      <c r="M20" s="17"/>
      <c r="N20" s="19"/>
      <c r="O20" s="19" t="s">
        <v>161</v>
      </c>
    </row>
    <row r="21" customFormat="false" ht="15" hidden="false" customHeight="false" outlineLevel="0" collapsed="false">
      <c r="A21" s="12" t="s">
        <v>162</v>
      </c>
      <c r="B21" s="13" t="s">
        <v>163</v>
      </c>
      <c r="C21" s="13" t="s">
        <v>46</v>
      </c>
      <c r="D21" s="13" t="s">
        <v>46</v>
      </c>
      <c r="E21" s="13" t="s">
        <v>40</v>
      </c>
      <c r="F21" s="13" t="s">
        <v>98</v>
      </c>
      <c r="G21" s="13" t="s">
        <v>164</v>
      </c>
      <c r="H21" s="13" t="s">
        <v>163</v>
      </c>
      <c r="I21" s="14" t="s">
        <v>33</v>
      </c>
      <c r="J21" s="13" t="s">
        <v>165</v>
      </c>
      <c r="K21" s="13" t="s">
        <v>166</v>
      </c>
      <c r="L21" s="13"/>
      <c r="M21" s="13"/>
      <c r="N21" s="15"/>
      <c r="O21" s="15" t="s">
        <v>167</v>
      </c>
    </row>
    <row r="22" customFormat="false" ht="15" hidden="false" customHeight="false" outlineLevel="0" collapsed="false">
      <c r="A22" s="16" t="s">
        <v>168</v>
      </c>
      <c r="B22" s="17" t="s">
        <v>169</v>
      </c>
      <c r="C22" s="17" t="s">
        <v>46</v>
      </c>
      <c r="D22" s="17" t="s">
        <v>46</v>
      </c>
      <c r="E22" s="17" t="s">
        <v>40</v>
      </c>
      <c r="F22" s="17" t="s">
        <v>98</v>
      </c>
      <c r="G22" s="17" t="s">
        <v>164</v>
      </c>
      <c r="H22" s="17" t="s">
        <v>163</v>
      </c>
      <c r="I22" s="20" t="s">
        <v>33</v>
      </c>
      <c r="J22" s="17" t="s">
        <v>170</v>
      </c>
      <c r="K22" s="17" t="s">
        <v>166</v>
      </c>
      <c r="L22" s="17"/>
      <c r="M22" s="17" t="s">
        <v>171</v>
      </c>
      <c r="N22" s="19"/>
      <c r="O22" s="19" t="s">
        <v>172</v>
      </c>
    </row>
    <row r="23" customFormat="false" ht="15" hidden="false" customHeight="false" outlineLevel="0" collapsed="false">
      <c r="A23" s="12" t="s">
        <v>173</v>
      </c>
      <c r="B23" s="13" t="s">
        <v>174</v>
      </c>
      <c r="C23" s="13" t="s">
        <v>46</v>
      </c>
      <c r="D23" s="13" t="s">
        <v>46</v>
      </c>
      <c r="E23" s="13" t="s">
        <v>40</v>
      </c>
      <c r="F23" s="13" t="s">
        <v>98</v>
      </c>
      <c r="G23" s="13" t="s">
        <v>175</v>
      </c>
      <c r="H23" s="13" t="s">
        <v>176</v>
      </c>
      <c r="I23" s="14" t="s">
        <v>33</v>
      </c>
      <c r="J23" s="13" t="s">
        <v>177</v>
      </c>
      <c r="K23" s="13" t="s">
        <v>166</v>
      </c>
      <c r="L23" s="13"/>
      <c r="M23" s="13"/>
      <c r="N23" s="15"/>
      <c r="O23" s="15" t="s">
        <v>178</v>
      </c>
    </row>
    <row r="24" customFormat="false" ht="23.85" hidden="false" customHeight="false" outlineLevel="0" collapsed="false">
      <c r="A24" s="16" t="s">
        <v>179</v>
      </c>
      <c r="B24" s="17" t="s">
        <v>180</v>
      </c>
      <c r="C24" s="17" t="s">
        <v>46</v>
      </c>
      <c r="D24" s="17" t="s">
        <v>46</v>
      </c>
      <c r="E24" s="17" t="s">
        <v>40</v>
      </c>
      <c r="F24" s="17" t="s">
        <v>98</v>
      </c>
      <c r="G24" s="17" t="s">
        <v>175</v>
      </c>
      <c r="H24" s="17" t="s">
        <v>176</v>
      </c>
      <c r="I24" s="20" t="s">
        <v>33</v>
      </c>
      <c r="J24" s="17" t="s">
        <v>181</v>
      </c>
      <c r="K24" s="17" t="s">
        <v>166</v>
      </c>
      <c r="L24" s="17"/>
      <c r="M24" s="17"/>
      <c r="N24" s="19"/>
      <c r="O24" s="19" t="s">
        <v>182</v>
      </c>
    </row>
    <row r="25" customFormat="false" ht="15" hidden="false" customHeight="false" outlineLevel="0" collapsed="false">
      <c r="A25" s="12" t="s">
        <v>183</v>
      </c>
      <c r="B25" s="13" t="s">
        <v>184</v>
      </c>
      <c r="C25" s="13" t="s">
        <v>46</v>
      </c>
      <c r="D25" s="13" t="s">
        <v>46</v>
      </c>
      <c r="E25" s="13" t="s">
        <v>40</v>
      </c>
      <c r="F25" s="13" t="s">
        <v>98</v>
      </c>
      <c r="G25" s="13" t="s">
        <v>175</v>
      </c>
      <c r="H25" s="13" t="s">
        <v>176</v>
      </c>
      <c r="I25" s="14" t="s">
        <v>33</v>
      </c>
      <c r="J25" s="13" t="s">
        <v>181</v>
      </c>
      <c r="K25" s="13" t="s">
        <v>166</v>
      </c>
      <c r="L25" s="13"/>
      <c r="M25" s="13"/>
      <c r="N25" s="15"/>
      <c r="O25" s="15"/>
    </row>
    <row r="26" customFormat="false" ht="15" hidden="false" customHeight="false" outlineLevel="0" collapsed="false">
      <c r="A26" s="16" t="s">
        <v>185</v>
      </c>
      <c r="B26" s="17" t="s">
        <v>186</v>
      </c>
      <c r="C26" s="17" t="s">
        <v>46</v>
      </c>
      <c r="D26" s="17" t="s">
        <v>46</v>
      </c>
      <c r="E26" s="17" t="s">
        <v>40</v>
      </c>
      <c r="F26" s="17" t="s">
        <v>98</v>
      </c>
      <c r="G26" s="17" t="s">
        <v>175</v>
      </c>
      <c r="H26" s="17" t="s">
        <v>176</v>
      </c>
      <c r="I26" s="20" t="s">
        <v>33</v>
      </c>
      <c r="J26" s="17" t="s">
        <v>181</v>
      </c>
      <c r="K26" s="17" t="s">
        <v>166</v>
      </c>
      <c r="L26" s="17"/>
      <c r="M26" s="17"/>
      <c r="N26" s="19"/>
      <c r="O26" s="19"/>
    </row>
    <row r="27" customFormat="false" ht="15" hidden="false" customHeight="false" outlineLevel="0" collapsed="false">
      <c r="A27" s="12" t="s">
        <v>187</v>
      </c>
      <c r="B27" s="13" t="s">
        <v>188</v>
      </c>
      <c r="C27" s="13" t="s">
        <v>46</v>
      </c>
      <c r="D27" s="13" t="s">
        <v>46</v>
      </c>
      <c r="E27" s="13" t="s">
        <v>40</v>
      </c>
      <c r="F27" s="13" t="s">
        <v>98</v>
      </c>
      <c r="G27" s="13" t="s">
        <v>175</v>
      </c>
      <c r="H27" s="13" t="s">
        <v>176</v>
      </c>
      <c r="I27" s="14" t="s">
        <v>33</v>
      </c>
      <c r="J27" s="13" t="s">
        <v>181</v>
      </c>
      <c r="K27" s="13" t="s">
        <v>166</v>
      </c>
      <c r="L27" s="13"/>
      <c r="M27" s="13"/>
      <c r="N27" s="15"/>
      <c r="O27" s="15" t="s">
        <v>189</v>
      </c>
    </row>
    <row r="28" customFormat="false" ht="15" hidden="false" customHeight="false" outlineLevel="0" collapsed="false">
      <c r="A28" s="16" t="s">
        <v>190</v>
      </c>
      <c r="B28" s="17" t="s">
        <v>191</v>
      </c>
      <c r="C28" s="17" t="s">
        <v>46</v>
      </c>
      <c r="D28" s="17" t="s">
        <v>46</v>
      </c>
      <c r="E28" s="17" t="s">
        <v>40</v>
      </c>
      <c r="F28" s="17" t="s">
        <v>98</v>
      </c>
      <c r="G28" s="17" t="s">
        <v>175</v>
      </c>
      <c r="H28" s="17" t="s">
        <v>176</v>
      </c>
      <c r="I28" s="20" t="s">
        <v>33</v>
      </c>
      <c r="J28" s="17" t="s">
        <v>181</v>
      </c>
      <c r="K28" s="17" t="s">
        <v>166</v>
      </c>
      <c r="L28" s="17"/>
      <c r="M28" s="17"/>
      <c r="N28" s="19"/>
      <c r="O28" s="19"/>
    </row>
    <row r="29" customFormat="false" ht="15" hidden="false" customHeight="false" outlineLevel="0" collapsed="false">
      <c r="A29" s="12" t="s">
        <v>192</v>
      </c>
      <c r="B29" s="13" t="s">
        <v>193</v>
      </c>
      <c r="C29" s="13" t="s">
        <v>46</v>
      </c>
      <c r="D29" s="13" t="s">
        <v>46</v>
      </c>
      <c r="E29" s="13" t="s">
        <v>40</v>
      </c>
      <c r="F29" s="13" t="s">
        <v>98</v>
      </c>
      <c r="G29" s="13" t="s">
        <v>175</v>
      </c>
      <c r="H29" s="13" t="s">
        <v>176</v>
      </c>
      <c r="I29" s="14" t="s">
        <v>33</v>
      </c>
      <c r="J29" s="13" t="s">
        <v>181</v>
      </c>
      <c r="K29" s="13" t="s">
        <v>166</v>
      </c>
      <c r="L29" s="13"/>
      <c r="M29" s="13"/>
      <c r="N29" s="15"/>
      <c r="O29" s="15"/>
    </row>
    <row r="30" customFormat="false" ht="15" hidden="false" customHeight="false" outlineLevel="0" collapsed="false">
      <c r="A30" s="16" t="s">
        <v>194</v>
      </c>
      <c r="B30" s="17" t="s">
        <v>195</v>
      </c>
      <c r="C30" s="17" t="s">
        <v>46</v>
      </c>
      <c r="D30" s="17" t="s">
        <v>46</v>
      </c>
      <c r="E30" s="17" t="s">
        <v>40</v>
      </c>
      <c r="F30" s="17" t="s">
        <v>98</v>
      </c>
      <c r="G30" s="17" t="s">
        <v>196</v>
      </c>
      <c r="H30" s="17" t="s">
        <v>197</v>
      </c>
      <c r="I30" s="18" t="s">
        <v>34</v>
      </c>
      <c r="J30" s="17" t="s">
        <v>108</v>
      </c>
      <c r="K30" s="17"/>
      <c r="L30" s="17"/>
      <c r="M30" s="17"/>
      <c r="N30" s="19"/>
      <c r="O30" s="19"/>
    </row>
    <row r="31" customFormat="false" ht="15" hidden="false" customHeight="false" outlineLevel="0" collapsed="false">
      <c r="A31" s="12" t="s">
        <v>198</v>
      </c>
      <c r="B31" s="13" t="s">
        <v>199</v>
      </c>
      <c r="C31" s="13" t="s">
        <v>46</v>
      </c>
      <c r="D31" s="13" t="s">
        <v>46</v>
      </c>
      <c r="E31" s="13" t="s">
        <v>40</v>
      </c>
      <c r="F31" s="13" t="s">
        <v>98</v>
      </c>
      <c r="G31" s="13" t="s">
        <v>200</v>
      </c>
      <c r="H31" s="13" t="s">
        <v>201</v>
      </c>
      <c r="I31" s="14" t="s">
        <v>33</v>
      </c>
      <c r="J31" s="13" t="s">
        <v>202</v>
      </c>
      <c r="K31" s="13" t="s">
        <v>120</v>
      </c>
      <c r="L31" s="13"/>
      <c r="M31" s="13"/>
      <c r="N31" s="15"/>
      <c r="O31" s="15"/>
    </row>
    <row r="32" customFormat="false" ht="15" hidden="false" customHeight="false" outlineLevel="0" collapsed="false">
      <c r="A32" s="16" t="s">
        <v>203</v>
      </c>
      <c r="B32" s="17" t="s">
        <v>204</v>
      </c>
      <c r="C32" s="17" t="s">
        <v>46</v>
      </c>
      <c r="D32" s="17" t="s">
        <v>46</v>
      </c>
      <c r="E32" s="17" t="s">
        <v>40</v>
      </c>
      <c r="F32" s="17" t="s">
        <v>98</v>
      </c>
      <c r="G32" s="17" t="s">
        <v>205</v>
      </c>
      <c r="H32" s="17" t="s">
        <v>206</v>
      </c>
      <c r="I32" s="20" t="s">
        <v>33</v>
      </c>
      <c r="J32" s="17" t="s">
        <v>207</v>
      </c>
      <c r="K32" s="17" t="s">
        <v>120</v>
      </c>
      <c r="L32" s="17"/>
      <c r="M32" s="17"/>
      <c r="N32" s="19"/>
      <c r="O32" s="19"/>
    </row>
    <row r="33" customFormat="false" ht="15" hidden="false" customHeight="false" outlineLevel="0" collapsed="false">
      <c r="A33" s="12" t="s">
        <v>208</v>
      </c>
      <c r="B33" s="13" t="s">
        <v>209</v>
      </c>
      <c r="C33" s="13" t="s">
        <v>46</v>
      </c>
      <c r="D33" s="13" t="s">
        <v>46</v>
      </c>
      <c r="E33" s="13" t="s">
        <v>40</v>
      </c>
      <c r="F33" s="13" t="s">
        <v>98</v>
      </c>
      <c r="G33" s="13" t="s">
        <v>205</v>
      </c>
      <c r="H33" s="13" t="s">
        <v>206</v>
      </c>
      <c r="I33" s="14" t="s">
        <v>33</v>
      </c>
      <c r="J33" s="13" t="s">
        <v>210</v>
      </c>
      <c r="K33" s="13" t="s">
        <v>120</v>
      </c>
      <c r="L33" s="13"/>
      <c r="M33" s="13" t="s">
        <v>211</v>
      </c>
      <c r="N33" s="15"/>
      <c r="O33" s="15"/>
    </row>
    <row r="34" customFormat="false" ht="35.05" hidden="false" customHeight="false" outlineLevel="0" collapsed="false">
      <c r="A34" s="16" t="s">
        <v>212</v>
      </c>
      <c r="B34" s="17" t="s">
        <v>213</v>
      </c>
      <c r="C34" s="17" t="s">
        <v>46</v>
      </c>
      <c r="D34" s="17" t="s">
        <v>46</v>
      </c>
      <c r="E34" s="17" t="s">
        <v>41</v>
      </c>
      <c r="F34" s="17" t="s">
        <v>214</v>
      </c>
      <c r="G34" s="17"/>
      <c r="H34" s="17"/>
      <c r="I34" s="18" t="s">
        <v>34</v>
      </c>
      <c r="J34" s="17" t="s">
        <v>108</v>
      </c>
      <c r="K34" s="17"/>
      <c r="L34" s="17"/>
      <c r="M34" s="17"/>
      <c r="N34" s="19" t="s">
        <v>215</v>
      </c>
      <c r="O34" s="19"/>
    </row>
    <row r="35" customFormat="false" ht="23.85" hidden="false" customHeight="false" outlineLevel="0" collapsed="false">
      <c r="A35" s="12" t="s">
        <v>216</v>
      </c>
      <c r="B35" s="13" t="s">
        <v>217</v>
      </c>
      <c r="C35" s="13" t="s">
        <v>46</v>
      </c>
      <c r="D35" s="13" t="s">
        <v>46</v>
      </c>
      <c r="E35" s="13" t="s">
        <v>40</v>
      </c>
      <c r="F35" s="13" t="s">
        <v>98</v>
      </c>
      <c r="G35" s="13" t="s">
        <v>99</v>
      </c>
      <c r="H35" s="13" t="s">
        <v>100</v>
      </c>
      <c r="I35" s="14" t="s">
        <v>33</v>
      </c>
      <c r="J35" s="13" t="s">
        <v>218</v>
      </c>
      <c r="K35" s="13" t="s">
        <v>102</v>
      </c>
      <c r="L35" s="13"/>
      <c r="M35" s="13"/>
      <c r="N35" s="15"/>
      <c r="O35" s="15" t="s">
        <v>219</v>
      </c>
    </row>
    <row r="36" customFormat="false" ht="23.85" hidden="false" customHeight="false" outlineLevel="0" collapsed="false">
      <c r="A36" s="16" t="s">
        <v>220</v>
      </c>
      <c r="B36" s="17" t="s">
        <v>221</v>
      </c>
      <c r="C36" s="17" t="s">
        <v>46</v>
      </c>
      <c r="D36" s="17" t="s">
        <v>46</v>
      </c>
      <c r="E36" s="17" t="s">
        <v>40</v>
      </c>
      <c r="F36" s="17" t="s">
        <v>98</v>
      </c>
      <c r="G36" s="17" t="s">
        <v>99</v>
      </c>
      <c r="H36" s="17" t="s">
        <v>100</v>
      </c>
      <c r="I36" s="20" t="s">
        <v>33</v>
      </c>
      <c r="J36" s="17" t="s">
        <v>221</v>
      </c>
      <c r="K36" s="17" t="s">
        <v>102</v>
      </c>
      <c r="L36" s="17"/>
      <c r="M36" s="17"/>
      <c r="N36" s="19"/>
      <c r="O36" s="19" t="s">
        <v>222</v>
      </c>
    </row>
    <row r="37" customFormat="false" ht="15" hidden="false" customHeight="false" outlineLevel="0" collapsed="false">
      <c r="A37" s="12" t="s">
        <v>223</v>
      </c>
      <c r="B37" s="13" t="s">
        <v>197</v>
      </c>
      <c r="C37" s="13" t="s">
        <v>46</v>
      </c>
      <c r="D37" s="13" t="s">
        <v>46</v>
      </c>
      <c r="E37" s="13" t="s">
        <v>40</v>
      </c>
      <c r="F37" s="13" t="s">
        <v>98</v>
      </c>
      <c r="G37" s="13" t="s">
        <v>196</v>
      </c>
      <c r="H37" s="13" t="s">
        <v>197</v>
      </c>
      <c r="I37" s="21" t="s">
        <v>34</v>
      </c>
      <c r="J37" s="13" t="s">
        <v>108</v>
      </c>
      <c r="K37" s="13"/>
      <c r="L37" s="13"/>
      <c r="M37" s="13"/>
      <c r="N37" s="15"/>
      <c r="O37" s="15"/>
    </row>
    <row r="38" customFormat="false" ht="15" hidden="false" customHeight="false" outlineLevel="0" collapsed="false">
      <c r="A38" s="16" t="s">
        <v>224</v>
      </c>
      <c r="B38" s="17" t="s">
        <v>225</v>
      </c>
      <c r="C38" s="17" t="s">
        <v>46</v>
      </c>
      <c r="D38" s="17" t="s">
        <v>46</v>
      </c>
      <c r="E38" s="17" t="s">
        <v>40</v>
      </c>
      <c r="F38" s="17" t="s">
        <v>98</v>
      </c>
      <c r="G38" s="17" t="s">
        <v>226</v>
      </c>
      <c r="H38" s="17" t="s">
        <v>227</v>
      </c>
      <c r="I38" s="20" t="s">
        <v>33</v>
      </c>
      <c r="J38" s="17" t="s">
        <v>225</v>
      </c>
      <c r="K38" s="17" t="s">
        <v>120</v>
      </c>
      <c r="L38" s="17"/>
      <c r="M38" s="17"/>
      <c r="N38" s="19"/>
      <c r="O38" s="19"/>
    </row>
    <row r="39" customFormat="false" ht="35.05" hidden="false" customHeight="false" outlineLevel="0" collapsed="false">
      <c r="A39" s="12" t="s">
        <v>228</v>
      </c>
      <c r="B39" s="13" t="s">
        <v>229</v>
      </c>
      <c r="C39" s="13" t="s">
        <v>46</v>
      </c>
      <c r="D39" s="13" t="s">
        <v>46</v>
      </c>
      <c r="E39" s="13" t="s">
        <v>40</v>
      </c>
      <c r="F39" s="13" t="s">
        <v>98</v>
      </c>
      <c r="G39" s="13" t="s">
        <v>99</v>
      </c>
      <c r="H39" s="13" t="s">
        <v>100</v>
      </c>
      <c r="I39" s="14" t="s">
        <v>33</v>
      </c>
      <c r="J39" s="13" t="s">
        <v>230</v>
      </c>
      <c r="K39" s="13" t="s">
        <v>102</v>
      </c>
      <c r="L39" s="13"/>
      <c r="M39" s="13"/>
      <c r="N39" s="15"/>
      <c r="O39" s="15" t="s">
        <v>231</v>
      </c>
    </row>
    <row r="40" customFormat="false" ht="35.05" hidden="false" customHeight="false" outlineLevel="0" collapsed="false">
      <c r="A40" s="16" t="s">
        <v>232</v>
      </c>
      <c r="B40" s="17" t="s">
        <v>233</v>
      </c>
      <c r="C40" s="17" t="s">
        <v>46</v>
      </c>
      <c r="D40" s="17" t="s">
        <v>46</v>
      </c>
      <c r="E40" s="17" t="s">
        <v>40</v>
      </c>
      <c r="F40" s="17" t="s">
        <v>98</v>
      </c>
      <c r="G40" s="17" t="s">
        <v>99</v>
      </c>
      <c r="H40" s="17" t="s">
        <v>100</v>
      </c>
      <c r="I40" s="20" t="s">
        <v>33</v>
      </c>
      <c r="J40" s="17" t="s">
        <v>233</v>
      </c>
      <c r="K40" s="17" t="s">
        <v>102</v>
      </c>
      <c r="L40" s="17"/>
      <c r="M40" s="17"/>
      <c r="N40" s="19"/>
      <c r="O40" s="19" t="s">
        <v>234</v>
      </c>
    </row>
    <row r="41" customFormat="false" ht="23.85" hidden="false" customHeight="false" outlineLevel="0" collapsed="false">
      <c r="A41" s="12" t="s">
        <v>235</v>
      </c>
      <c r="B41" s="13" t="s">
        <v>236</v>
      </c>
      <c r="C41" s="13" t="s">
        <v>46</v>
      </c>
      <c r="D41" s="13" t="s">
        <v>46</v>
      </c>
      <c r="E41" s="13" t="s">
        <v>40</v>
      </c>
      <c r="F41" s="13" t="s">
        <v>98</v>
      </c>
      <c r="G41" s="13" t="s">
        <v>237</v>
      </c>
      <c r="H41" s="13" t="s">
        <v>238</v>
      </c>
      <c r="I41" s="14" t="s">
        <v>33</v>
      </c>
      <c r="J41" s="13" t="s">
        <v>238</v>
      </c>
      <c r="K41" s="13" t="s">
        <v>46</v>
      </c>
      <c r="L41" s="13"/>
      <c r="M41" s="13"/>
      <c r="N41" s="15"/>
      <c r="O41" s="15" t="s">
        <v>239</v>
      </c>
    </row>
    <row r="42" customFormat="false" ht="15" hidden="false" customHeight="false" outlineLevel="0" collapsed="false">
      <c r="A42" s="16" t="s">
        <v>240</v>
      </c>
      <c r="B42" s="17" t="s">
        <v>241</v>
      </c>
      <c r="C42" s="17" t="s">
        <v>47</v>
      </c>
      <c r="D42" s="17" t="s">
        <v>47</v>
      </c>
      <c r="E42" s="17" t="s">
        <v>40</v>
      </c>
      <c r="F42" s="17" t="s">
        <v>98</v>
      </c>
      <c r="G42" s="17" t="s">
        <v>242</v>
      </c>
      <c r="H42" s="17" t="s">
        <v>243</v>
      </c>
      <c r="I42" s="20" t="s">
        <v>33</v>
      </c>
      <c r="J42" s="17" t="s">
        <v>244</v>
      </c>
      <c r="K42" s="17" t="s">
        <v>46</v>
      </c>
      <c r="L42" s="17"/>
      <c r="M42" s="17" t="s">
        <v>245</v>
      </c>
      <c r="N42" s="19"/>
      <c r="O42" s="19"/>
    </row>
    <row r="43" customFormat="false" ht="35.05" hidden="false" customHeight="false" outlineLevel="0" collapsed="false">
      <c r="A43" s="12" t="s">
        <v>246</v>
      </c>
      <c r="B43" s="13" t="s">
        <v>247</v>
      </c>
      <c r="C43" s="13" t="s">
        <v>47</v>
      </c>
      <c r="D43" s="13" t="s">
        <v>47</v>
      </c>
      <c r="E43" s="13" t="s">
        <v>40</v>
      </c>
      <c r="F43" s="13" t="s">
        <v>98</v>
      </c>
      <c r="G43" s="13" t="s">
        <v>242</v>
      </c>
      <c r="H43" s="13" t="s">
        <v>243</v>
      </c>
      <c r="I43" s="14" t="s">
        <v>33</v>
      </c>
      <c r="J43" s="13" t="s">
        <v>244</v>
      </c>
      <c r="K43" s="13" t="s">
        <v>46</v>
      </c>
      <c r="L43" s="13"/>
      <c r="M43" s="13" t="s">
        <v>245</v>
      </c>
      <c r="N43" s="15"/>
      <c r="O43" s="15" t="s">
        <v>248</v>
      </c>
    </row>
    <row r="44" customFormat="false" ht="15" hidden="false" customHeight="false" outlineLevel="0" collapsed="false">
      <c r="A44" s="16" t="s">
        <v>249</v>
      </c>
      <c r="B44" s="17" t="s">
        <v>155</v>
      </c>
      <c r="C44" s="17" t="s">
        <v>47</v>
      </c>
      <c r="D44" s="17" t="s">
        <v>47</v>
      </c>
      <c r="E44" s="17" t="s">
        <v>40</v>
      </c>
      <c r="F44" s="17" t="s">
        <v>98</v>
      </c>
      <c r="G44" s="17" t="s">
        <v>250</v>
      </c>
      <c r="H44" s="17" t="s">
        <v>251</v>
      </c>
      <c r="I44" s="18" t="s">
        <v>34</v>
      </c>
      <c r="J44" s="17" t="s">
        <v>108</v>
      </c>
      <c r="K44" s="17"/>
      <c r="L44" s="17"/>
      <c r="M44" s="17" t="s">
        <v>245</v>
      </c>
      <c r="N44" s="19"/>
      <c r="O44" s="19"/>
    </row>
    <row r="45" customFormat="false" ht="15" hidden="false" customHeight="false" outlineLevel="0" collapsed="false">
      <c r="A45" s="12" t="s">
        <v>252</v>
      </c>
      <c r="B45" s="13" t="s">
        <v>253</v>
      </c>
      <c r="C45" s="13" t="s">
        <v>47</v>
      </c>
      <c r="D45" s="13" t="s">
        <v>47</v>
      </c>
      <c r="E45" s="13" t="s">
        <v>40</v>
      </c>
      <c r="F45" s="13" t="s">
        <v>98</v>
      </c>
      <c r="G45" s="13" t="s">
        <v>254</v>
      </c>
      <c r="H45" s="13" t="s">
        <v>255</v>
      </c>
      <c r="I45" s="21" t="s">
        <v>34</v>
      </c>
      <c r="J45" s="13" t="s">
        <v>108</v>
      </c>
      <c r="K45" s="13"/>
      <c r="L45" s="13"/>
      <c r="M45" s="13" t="s">
        <v>245</v>
      </c>
      <c r="N45" s="15"/>
      <c r="O45" s="15"/>
    </row>
    <row r="46" customFormat="false" ht="15" hidden="false" customHeight="false" outlineLevel="0" collapsed="false">
      <c r="A46" s="16" t="s">
        <v>256</v>
      </c>
      <c r="B46" s="17" t="s">
        <v>221</v>
      </c>
      <c r="C46" s="17" t="s">
        <v>47</v>
      </c>
      <c r="D46" s="17" t="s">
        <v>47</v>
      </c>
      <c r="E46" s="17" t="s">
        <v>40</v>
      </c>
      <c r="F46" s="17" t="s">
        <v>98</v>
      </c>
      <c r="G46" s="17" t="s">
        <v>242</v>
      </c>
      <c r="H46" s="17" t="s">
        <v>243</v>
      </c>
      <c r="I46" s="20" t="s">
        <v>33</v>
      </c>
      <c r="J46" s="17" t="s">
        <v>244</v>
      </c>
      <c r="K46" s="17" t="s">
        <v>46</v>
      </c>
      <c r="L46" s="17"/>
      <c r="M46" s="17" t="s">
        <v>245</v>
      </c>
      <c r="N46" s="19"/>
      <c r="O46" s="19"/>
    </row>
    <row r="47" customFormat="false" ht="15" hidden="false" customHeight="false" outlineLevel="0" collapsed="false">
      <c r="A47" s="12" t="s">
        <v>257</v>
      </c>
      <c r="B47" s="13" t="s">
        <v>233</v>
      </c>
      <c r="C47" s="13" t="s">
        <v>47</v>
      </c>
      <c r="D47" s="13" t="s">
        <v>47</v>
      </c>
      <c r="E47" s="13" t="s">
        <v>40</v>
      </c>
      <c r="F47" s="13" t="s">
        <v>98</v>
      </c>
      <c r="G47" s="13" t="s">
        <v>242</v>
      </c>
      <c r="H47" s="13" t="s">
        <v>243</v>
      </c>
      <c r="I47" s="14" t="s">
        <v>33</v>
      </c>
      <c r="J47" s="13" t="s">
        <v>244</v>
      </c>
      <c r="K47" s="13" t="s">
        <v>46</v>
      </c>
      <c r="L47" s="13"/>
      <c r="M47" s="13" t="s">
        <v>245</v>
      </c>
      <c r="N47" s="15"/>
      <c r="O47" s="15"/>
    </row>
    <row r="48" customFormat="false" ht="23.85" hidden="false" customHeight="false" outlineLevel="0" collapsed="false">
      <c r="A48" s="16" t="s">
        <v>258</v>
      </c>
      <c r="B48" s="17" t="s">
        <v>259</v>
      </c>
      <c r="C48" s="17" t="s">
        <v>47</v>
      </c>
      <c r="D48" s="17" t="s">
        <v>47</v>
      </c>
      <c r="E48" s="17" t="s">
        <v>40</v>
      </c>
      <c r="F48" s="17" t="s">
        <v>98</v>
      </c>
      <c r="G48" s="17"/>
      <c r="H48" s="17"/>
      <c r="I48" s="20" t="s">
        <v>33</v>
      </c>
      <c r="J48" s="17" t="s">
        <v>260</v>
      </c>
      <c r="K48" s="17" t="s">
        <v>261</v>
      </c>
      <c r="L48" s="17"/>
      <c r="M48" s="17"/>
      <c r="N48" s="19"/>
      <c r="O48" s="19" t="s">
        <v>262</v>
      </c>
    </row>
    <row r="49" customFormat="false" ht="15" hidden="false" customHeight="false" outlineLevel="0" collapsed="false">
      <c r="A49" s="12" t="s">
        <v>263</v>
      </c>
      <c r="B49" s="13" t="s">
        <v>264</v>
      </c>
      <c r="C49" s="13" t="s">
        <v>48</v>
      </c>
      <c r="D49" s="13" t="s">
        <v>48</v>
      </c>
      <c r="E49" s="13" t="s">
        <v>44</v>
      </c>
      <c r="F49" s="13" t="s">
        <v>214</v>
      </c>
      <c r="G49" s="13" t="s">
        <v>265</v>
      </c>
      <c r="H49" s="13" t="s">
        <v>266</v>
      </c>
      <c r="I49" s="21" t="s">
        <v>34</v>
      </c>
      <c r="J49" s="13" t="s">
        <v>108</v>
      </c>
      <c r="K49" s="13"/>
      <c r="L49" s="13" t="s">
        <v>267</v>
      </c>
      <c r="M49" s="13"/>
      <c r="N49" s="15"/>
      <c r="O49" s="15"/>
    </row>
    <row r="50" customFormat="false" ht="15" hidden="false" customHeight="false" outlineLevel="0" collapsed="false">
      <c r="A50" s="16" t="s">
        <v>268</v>
      </c>
      <c r="B50" s="17" t="s">
        <v>269</v>
      </c>
      <c r="C50" s="17" t="s">
        <v>48</v>
      </c>
      <c r="D50" s="17" t="s">
        <v>43</v>
      </c>
      <c r="E50" s="17" t="s">
        <v>43</v>
      </c>
      <c r="F50" s="17" t="s">
        <v>214</v>
      </c>
      <c r="G50" s="17" t="s">
        <v>270</v>
      </c>
      <c r="H50" s="17" t="s">
        <v>271</v>
      </c>
      <c r="I50" s="18" t="s">
        <v>34</v>
      </c>
      <c r="J50" s="17" t="s">
        <v>108</v>
      </c>
      <c r="K50" s="17"/>
      <c r="L50" s="17" t="s">
        <v>272</v>
      </c>
      <c r="M50" s="17"/>
      <c r="N50" s="19"/>
      <c r="O50" s="19"/>
    </row>
    <row r="51" customFormat="false" ht="15" hidden="false" customHeight="false" outlineLevel="0" collapsed="false">
      <c r="A51" s="12" t="s">
        <v>273</v>
      </c>
      <c r="B51" s="13" t="s">
        <v>274</v>
      </c>
      <c r="C51" s="13" t="s">
        <v>48</v>
      </c>
      <c r="D51" s="13" t="s">
        <v>48</v>
      </c>
      <c r="E51" s="13" t="s">
        <v>44</v>
      </c>
      <c r="F51" s="13" t="s">
        <v>214</v>
      </c>
      <c r="G51" s="13" t="s">
        <v>265</v>
      </c>
      <c r="H51" s="13" t="s">
        <v>266</v>
      </c>
      <c r="I51" s="21" t="s">
        <v>34</v>
      </c>
      <c r="J51" s="13" t="s">
        <v>108</v>
      </c>
      <c r="K51" s="13"/>
      <c r="L51" s="13" t="s">
        <v>275</v>
      </c>
      <c r="M51" s="13"/>
      <c r="N51" s="15"/>
      <c r="O51" s="15"/>
    </row>
    <row r="52" customFormat="false" ht="15" hidden="false" customHeight="false" outlineLevel="0" collapsed="false">
      <c r="A52" s="16" t="s">
        <v>276</v>
      </c>
      <c r="B52" s="17" t="s">
        <v>277</v>
      </c>
      <c r="C52" s="17" t="s">
        <v>48</v>
      </c>
      <c r="D52" s="17" t="s">
        <v>48</v>
      </c>
      <c r="E52" s="17" t="s">
        <v>44</v>
      </c>
      <c r="F52" s="17" t="s">
        <v>214</v>
      </c>
      <c r="G52" s="17" t="s">
        <v>265</v>
      </c>
      <c r="H52" s="17" t="s">
        <v>266</v>
      </c>
      <c r="I52" s="18" t="s">
        <v>34</v>
      </c>
      <c r="J52" s="17" t="s">
        <v>108</v>
      </c>
      <c r="K52" s="17"/>
      <c r="L52" s="17" t="s">
        <v>275</v>
      </c>
      <c r="M52" s="17" t="s">
        <v>278</v>
      </c>
      <c r="N52" s="19"/>
      <c r="O52" s="19"/>
    </row>
    <row r="53" customFormat="false" ht="15" hidden="false" customHeight="false" outlineLevel="0" collapsed="false">
      <c r="A53" s="12" t="s">
        <v>279</v>
      </c>
      <c r="B53" s="13" t="s">
        <v>280</v>
      </c>
      <c r="C53" s="13" t="s">
        <v>48</v>
      </c>
      <c r="D53" s="13" t="s">
        <v>48</v>
      </c>
      <c r="E53" s="13" t="s">
        <v>44</v>
      </c>
      <c r="F53" s="13" t="s">
        <v>214</v>
      </c>
      <c r="G53" s="13" t="s">
        <v>265</v>
      </c>
      <c r="H53" s="13" t="s">
        <v>266</v>
      </c>
      <c r="I53" s="21" t="s">
        <v>34</v>
      </c>
      <c r="J53" s="13" t="s">
        <v>108</v>
      </c>
      <c r="K53" s="13"/>
      <c r="L53" s="13" t="s">
        <v>281</v>
      </c>
      <c r="M53" s="13"/>
      <c r="N53" s="15"/>
      <c r="O53" s="15"/>
    </row>
    <row r="54" customFormat="false" ht="15" hidden="false" customHeight="false" outlineLevel="0" collapsed="false">
      <c r="A54" s="16" t="s">
        <v>282</v>
      </c>
      <c r="B54" s="17" t="s">
        <v>283</v>
      </c>
      <c r="C54" s="17" t="s">
        <v>48</v>
      </c>
      <c r="D54" s="17" t="s">
        <v>48</v>
      </c>
      <c r="E54" s="17" t="s">
        <v>44</v>
      </c>
      <c r="F54" s="17" t="s">
        <v>214</v>
      </c>
      <c r="G54" s="17" t="s">
        <v>265</v>
      </c>
      <c r="H54" s="17" t="s">
        <v>266</v>
      </c>
      <c r="I54" s="18" t="s">
        <v>34</v>
      </c>
      <c r="J54" s="17" t="s">
        <v>108</v>
      </c>
      <c r="K54" s="17"/>
      <c r="L54" s="17" t="s">
        <v>267</v>
      </c>
      <c r="M54" s="17"/>
      <c r="N54" s="19"/>
      <c r="O54" s="19"/>
    </row>
    <row r="55" customFormat="false" ht="15" hidden="false" customHeight="false" outlineLevel="0" collapsed="false">
      <c r="A55" s="12" t="s">
        <v>284</v>
      </c>
      <c r="B55" s="13" t="s">
        <v>285</v>
      </c>
      <c r="C55" s="13" t="s">
        <v>48</v>
      </c>
      <c r="D55" s="13" t="s">
        <v>48</v>
      </c>
      <c r="E55" s="13" t="s">
        <v>44</v>
      </c>
      <c r="F55" s="13" t="s">
        <v>214</v>
      </c>
      <c r="G55" s="13" t="s">
        <v>265</v>
      </c>
      <c r="H55" s="13" t="s">
        <v>266</v>
      </c>
      <c r="I55" s="21" t="s">
        <v>34</v>
      </c>
      <c r="J55" s="13" t="s">
        <v>108</v>
      </c>
      <c r="K55" s="13"/>
      <c r="L55" s="13" t="s">
        <v>267</v>
      </c>
      <c r="M55" s="13" t="s">
        <v>286</v>
      </c>
      <c r="N55" s="15"/>
      <c r="O55" s="15"/>
    </row>
    <row r="56" customFormat="false" ht="15" hidden="false" customHeight="false" outlineLevel="0" collapsed="false">
      <c r="A56" s="16" t="s">
        <v>287</v>
      </c>
      <c r="B56" s="17" t="s">
        <v>288</v>
      </c>
      <c r="C56" s="17" t="s">
        <v>48</v>
      </c>
      <c r="D56" s="17" t="s">
        <v>48</v>
      </c>
      <c r="E56" s="17" t="s">
        <v>44</v>
      </c>
      <c r="F56" s="17" t="s">
        <v>214</v>
      </c>
      <c r="G56" s="17" t="s">
        <v>289</v>
      </c>
      <c r="H56" s="17" t="s">
        <v>290</v>
      </c>
      <c r="I56" s="18" t="s">
        <v>34</v>
      </c>
      <c r="J56" s="17" t="s">
        <v>108</v>
      </c>
      <c r="K56" s="17"/>
      <c r="L56" s="17" t="s">
        <v>291</v>
      </c>
      <c r="M56" s="17" t="s">
        <v>286</v>
      </c>
      <c r="N56" s="19"/>
      <c r="O56" s="19"/>
    </row>
    <row r="57" customFormat="false" ht="15" hidden="false" customHeight="false" outlineLevel="0" collapsed="false">
      <c r="A57" s="12" t="s">
        <v>292</v>
      </c>
      <c r="B57" s="13" t="s">
        <v>293</v>
      </c>
      <c r="C57" s="13" t="s">
        <v>48</v>
      </c>
      <c r="D57" s="13" t="s">
        <v>48</v>
      </c>
      <c r="E57" s="13" t="s">
        <v>44</v>
      </c>
      <c r="F57" s="13" t="s">
        <v>214</v>
      </c>
      <c r="G57" s="13" t="s">
        <v>265</v>
      </c>
      <c r="H57" s="13" t="s">
        <v>266</v>
      </c>
      <c r="I57" s="21" t="s">
        <v>34</v>
      </c>
      <c r="J57" s="13" t="s">
        <v>108</v>
      </c>
      <c r="K57" s="13"/>
      <c r="L57" s="13" t="s">
        <v>294</v>
      </c>
      <c r="M57" s="13" t="s">
        <v>286</v>
      </c>
      <c r="N57" s="15"/>
      <c r="O57" s="15"/>
    </row>
    <row r="58" customFormat="false" ht="15" hidden="false" customHeight="false" outlineLevel="0" collapsed="false">
      <c r="A58" s="16" t="s">
        <v>295</v>
      </c>
      <c r="B58" s="17" t="s">
        <v>296</v>
      </c>
      <c r="C58" s="17" t="s">
        <v>48</v>
      </c>
      <c r="D58" s="17" t="s">
        <v>48</v>
      </c>
      <c r="E58" s="17" t="s">
        <v>44</v>
      </c>
      <c r="F58" s="17" t="s">
        <v>214</v>
      </c>
      <c r="G58" s="17" t="s">
        <v>297</v>
      </c>
      <c r="H58" s="17" t="s">
        <v>298</v>
      </c>
      <c r="I58" s="18" t="s">
        <v>34</v>
      </c>
      <c r="J58" s="17" t="s">
        <v>108</v>
      </c>
      <c r="K58" s="17"/>
      <c r="L58" s="17" t="s">
        <v>299</v>
      </c>
      <c r="M58" s="17"/>
      <c r="N58" s="19"/>
      <c r="O58" s="19"/>
    </row>
    <row r="59" customFormat="false" ht="15" hidden="false" customHeight="false" outlineLevel="0" collapsed="false">
      <c r="A59" s="12" t="s">
        <v>300</v>
      </c>
      <c r="B59" s="13" t="s">
        <v>301</v>
      </c>
      <c r="C59" s="13" t="s">
        <v>48</v>
      </c>
      <c r="D59" s="13" t="s">
        <v>48</v>
      </c>
      <c r="E59" s="13" t="s">
        <v>44</v>
      </c>
      <c r="F59" s="13" t="s">
        <v>214</v>
      </c>
      <c r="G59" s="13" t="s">
        <v>302</v>
      </c>
      <c r="H59" s="13" t="s">
        <v>303</v>
      </c>
      <c r="I59" s="14" t="s">
        <v>33</v>
      </c>
      <c r="J59" s="13" t="s">
        <v>304</v>
      </c>
      <c r="K59" s="13" t="s">
        <v>46</v>
      </c>
      <c r="L59" s="13" t="s">
        <v>275</v>
      </c>
      <c r="M59" s="13"/>
      <c r="N59" s="15"/>
      <c r="O59" s="15"/>
    </row>
    <row r="60" customFormat="false" ht="46.25" hidden="false" customHeight="false" outlineLevel="0" collapsed="false">
      <c r="A60" s="16" t="s">
        <v>305</v>
      </c>
      <c r="B60" s="17" t="s">
        <v>306</v>
      </c>
      <c r="C60" s="17" t="s">
        <v>48</v>
      </c>
      <c r="D60" s="17" t="s">
        <v>48</v>
      </c>
      <c r="E60" s="17" t="s">
        <v>42</v>
      </c>
      <c r="F60" s="17" t="s">
        <v>214</v>
      </c>
      <c r="G60" s="17" t="s">
        <v>307</v>
      </c>
      <c r="H60" s="17" t="s">
        <v>308</v>
      </c>
      <c r="I60" s="18" t="s">
        <v>34</v>
      </c>
      <c r="J60" s="17" t="s">
        <v>108</v>
      </c>
      <c r="K60" s="17"/>
      <c r="L60" s="17"/>
      <c r="M60" s="17" t="s">
        <v>309</v>
      </c>
      <c r="N60" s="19" t="s">
        <v>310</v>
      </c>
      <c r="O60" s="19"/>
    </row>
    <row r="61" customFormat="false" ht="23.85" hidden="false" customHeight="false" outlineLevel="0" collapsed="false">
      <c r="A61" s="12" t="s">
        <v>311</v>
      </c>
      <c r="B61" s="13" t="s">
        <v>312</v>
      </c>
      <c r="C61" s="13" t="s">
        <v>48</v>
      </c>
      <c r="D61" s="13" t="s">
        <v>48</v>
      </c>
      <c r="E61" s="13" t="s">
        <v>42</v>
      </c>
      <c r="F61" s="13" t="s">
        <v>214</v>
      </c>
      <c r="G61" s="13" t="s">
        <v>313</v>
      </c>
      <c r="H61" s="13" t="s">
        <v>314</v>
      </c>
      <c r="I61" s="21" t="s">
        <v>34</v>
      </c>
      <c r="J61" s="13" t="s">
        <v>108</v>
      </c>
      <c r="K61" s="13"/>
      <c r="L61" s="13"/>
      <c r="M61" s="13" t="s">
        <v>309</v>
      </c>
      <c r="N61" s="15" t="s">
        <v>315</v>
      </c>
      <c r="O61" s="15"/>
    </row>
    <row r="62" customFormat="false" ht="23.85" hidden="false" customHeight="false" outlineLevel="0" collapsed="false">
      <c r="A62" s="16" t="s">
        <v>316</v>
      </c>
      <c r="B62" s="17" t="s">
        <v>317</v>
      </c>
      <c r="C62" s="17" t="s">
        <v>48</v>
      </c>
      <c r="D62" s="17" t="s">
        <v>48</v>
      </c>
      <c r="E62" s="17" t="s">
        <v>42</v>
      </c>
      <c r="F62" s="17" t="s">
        <v>214</v>
      </c>
      <c r="G62" s="17" t="s">
        <v>318</v>
      </c>
      <c r="H62" s="17" t="s">
        <v>319</v>
      </c>
      <c r="I62" s="18" t="s">
        <v>34</v>
      </c>
      <c r="J62" s="17" t="s">
        <v>108</v>
      </c>
      <c r="K62" s="17"/>
      <c r="L62" s="17"/>
      <c r="M62" s="17" t="s">
        <v>309</v>
      </c>
      <c r="N62" s="19" t="s">
        <v>320</v>
      </c>
      <c r="O62" s="19"/>
    </row>
    <row r="63" customFormat="false" ht="68.65" hidden="false" customHeight="false" outlineLevel="0" collapsed="false">
      <c r="A63" s="12" t="s">
        <v>321</v>
      </c>
      <c r="B63" s="13" t="s">
        <v>306</v>
      </c>
      <c r="C63" s="13" t="s">
        <v>48</v>
      </c>
      <c r="D63" s="13" t="s">
        <v>48</v>
      </c>
      <c r="E63" s="13" t="s">
        <v>40</v>
      </c>
      <c r="F63" s="13" t="s">
        <v>98</v>
      </c>
      <c r="G63" s="13"/>
      <c r="H63" s="13"/>
      <c r="I63" s="14" t="s">
        <v>33</v>
      </c>
      <c r="J63" s="13" t="s">
        <v>306</v>
      </c>
      <c r="K63" s="13" t="s">
        <v>261</v>
      </c>
      <c r="L63" s="13"/>
      <c r="M63" s="13"/>
      <c r="N63" s="15" t="s">
        <v>322</v>
      </c>
      <c r="O63" s="15" t="s">
        <v>323</v>
      </c>
    </row>
    <row r="64" customFormat="false" ht="68.65" hidden="false" customHeight="false" outlineLevel="0" collapsed="false">
      <c r="A64" s="16" t="s">
        <v>324</v>
      </c>
      <c r="B64" s="17" t="s">
        <v>317</v>
      </c>
      <c r="C64" s="17" t="s">
        <v>48</v>
      </c>
      <c r="D64" s="17" t="s">
        <v>48</v>
      </c>
      <c r="E64" s="17" t="s">
        <v>40</v>
      </c>
      <c r="F64" s="17" t="s">
        <v>98</v>
      </c>
      <c r="G64" s="17"/>
      <c r="H64" s="17"/>
      <c r="I64" s="20" t="s">
        <v>33</v>
      </c>
      <c r="J64" s="17" t="s">
        <v>325</v>
      </c>
      <c r="K64" s="17" t="s">
        <v>261</v>
      </c>
      <c r="L64" s="17"/>
      <c r="M64" s="17"/>
      <c r="N64" s="19" t="s">
        <v>322</v>
      </c>
      <c r="O64" s="19" t="s">
        <v>326</v>
      </c>
    </row>
    <row r="65" customFormat="false" ht="46.25" hidden="false" customHeight="false" outlineLevel="0" collapsed="false">
      <c r="A65" s="12" t="s">
        <v>327</v>
      </c>
      <c r="B65" s="13" t="s">
        <v>328</v>
      </c>
      <c r="C65" s="13" t="s">
        <v>48</v>
      </c>
      <c r="D65" s="13" t="s">
        <v>48</v>
      </c>
      <c r="E65" s="13" t="s">
        <v>40</v>
      </c>
      <c r="F65" s="13" t="s">
        <v>98</v>
      </c>
      <c r="G65" s="13" t="s">
        <v>302</v>
      </c>
      <c r="H65" s="13" t="s">
        <v>303</v>
      </c>
      <c r="I65" s="14" t="s">
        <v>33</v>
      </c>
      <c r="J65" s="13" t="s">
        <v>304</v>
      </c>
      <c r="K65" s="13" t="s">
        <v>46</v>
      </c>
      <c r="L65" s="13"/>
      <c r="M65" s="13"/>
      <c r="N65" s="15" t="s">
        <v>329</v>
      </c>
      <c r="O65" s="15"/>
    </row>
    <row r="66" customFormat="false" ht="57.45" hidden="false" customHeight="false" outlineLevel="0" collapsed="false">
      <c r="A66" s="16" t="s">
        <v>330</v>
      </c>
      <c r="B66" s="17" t="s">
        <v>317</v>
      </c>
      <c r="C66" s="17" t="s">
        <v>48</v>
      </c>
      <c r="D66" s="17" t="s">
        <v>48</v>
      </c>
      <c r="E66" s="17" t="s">
        <v>40</v>
      </c>
      <c r="F66" s="17" t="s">
        <v>98</v>
      </c>
      <c r="G66" s="17" t="s">
        <v>318</v>
      </c>
      <c r="H66" s="17" t="s">
        <v>319</v>
      </c>
      <c r="I66" s="20" t="s">
        <v>33</v>
      </c>
      <c r="J66" s="17" t="s">
        <v>181</v>
      </c>
      <c r="K66" s="17" t="s">
        <v>166</v>
      </c>
      <c r="L66" s="17"/>
      <c r="M66" s="17"/>
      <c r="N66" s="19" t="s">
        <v>331</v>
      </c>
      <c r="O66" s="19"/>
    </row>
    <row r="67" customFormat="false" ht="15" hidden="false" customHeight="false" outlineLevel="0" collapsed="false">
      <c r="A67" s="12" t="s">
        <v>332</v>
      </c>
      <c r="B67" s="13" t="s">
        <v>333</v>
      </c>
      <c r="C67" s="13" t="s">
        <v>49</v>
      </c>
      <c r="D67" s="13" t="s">
        <v>49</v>
      </c>
      <c r="E67" s="13" t="s">
        <v>43</v>
      </c>
      <c r="F67" s="13" t="s">
        <v>214</v>
      </c>
      <c r="G67" s="13" t="s">
        <v>334</v>
      </c>
      <c r="H67" s="13" t="s">
        <v>335</v>
      </c>
      <c r="I67" s="21" t="s">
        <v>34</v>
      </c>
      <c r="J67" s="13" t="s">
        <v>108</v>
      </c>
      <c r="K67" s="13"/>
      <c r="L67" s="13"/>
      <c r="M67" s="13"/>
      <c r="N67" s="15"/>
      <c r="O67" s="15"/>
    </row>
    <row r="68" customFormat="false" ht="15" hidden="false" customHeight="false" outlineLevel="0" collapsed="false">
      <c r="A68" s="16" t="s">
        <v>336</v>
      </c>
      <c r="B68" s="17" t="s">
        <v>337</v>
      </c>
      <c r="C68" s="17" t="s">
        <v>49</v>
      </c>
      <c r="D68" s="17" t="s">
        <v>49</v>
      </c>
      <c r="E68" s="17" t="s">
        <v>43</v>
      </c>
      <c r="F68" s="17" t="s">
        <v>214</v>
      </c>
      <c r="G68" s="17" t="s">
        <v>334</v>
      </c>
      <c r="H68" s="17" t="s">
        <v>335</v>
      </c>
      <c r="I68" s="18" t="s">
        <v>34</v>
      </c>
      <c r="J68" s="17" t="s">
        <v>108</v>
      </c>
      <c r="K68" s="17"/>
      <c r="L68" s="17"/>
      <c r="M68" s="17" t="s">
        <v>338</v>
      </c>
      <c r="N68" s="19"/>
      <c r="O68" s="19"/>
    </row>
    <row r="69" customFormat="false" ht="68.65" hidden="false" customHeight="false" outlineLevel="0" collapsed="false">
      <c r="A69" s="12" t="s">
        <v>339</v>
      </c>
      <c r="B69" s="13" t="s">
        <v>340</v>
      </c>
      <c r="C69" s="13" t="s">
        <v>43</v>
      </c>
      <c r="D69" s="13" t="s">
        <v>43</v>
      </c>
      <c r="E69" s="13" t="s">
        <v>40</v>
      </c>
      <c r="F69" s="13" t="s">
        <v>98</v>
      </c>
      <c r="G69" s="13"/>
      <c r="H69" s="13"/>
      <c r="I69" s="14" t="s">
        <v>33</v>
      </c>
      <c r="J69" s="13" t="s">
        <v>340</v>
      </c>
      <c r="K69" s="13" t="s">
        <v>261</v>
      </c>
      <c r="L69" s="13"/>
      <c r="M69" s="13"/>
      <c r="N69" s="15" t="s">
        <v>322</v>
      </c>
      <c r="O69" s="15" t="s">
        <v>341</v>
      </c>
    </row>
    <row r="70" customFormat="false" ht="68.65" hidden="false" customHeight="false" outlineLevel="0" collapsed="false">
      <c r="A70" s="16" t="s">
        <v>342</v>
      </c>
      <c r="B70" s="17" t="s">
        <v>343</v>
      </c>
      <c r="C70" s="17" t="s">
        <v>43</v>
      </c>
      <c r="D70" s="17" t="s">
        <v>43</v>
      </c>
      <c r="E70" s="17" t="s">
        <v>40</v>
      </c>
      <c r="F70" s="17" t="s">
        <v>98</v>
      </c>
      <c r="G70" s="17"/>
      <c r="H70" s="17"/>
      <c r="I70" s="20" t="s">
        <v>33</v>
      </c>
      <c r="J70" s="17" t="s">
        <v>343</v>
      </c>
      <c r="K70" s="17" t="s">
        <v>261</v>
      </c>
      <c r="L70" s="17"/>
      <c r="M70" s="17"/>
      <c r="N70" s="19" t="s">
        <v>322</v>
      </c>
      <c r="O70" s="19" t="s">
        <v>344</v>
      </c>
    </row>
    <row r="71" customFormat="false" ht="15" hidden="false" customHeight="false" outlineLevel="0" collapsed="false">
      <c r="A71" s="12" t="s">
        <v>345</v>
      </c>
      <c r="B71" s="13" t="s">
        <v>346</v>
      </c>
      <c r="C71" s="13" t="s">
        <v>43</v>
      </c>
      <c r="D71" s="13" t="s">
        <v>43</v>
      </c>
      <c r="E71" s="13" t="s">
        <v>43</v>
      </c>
      <c r="F71" s="13" t="s">
        <v>214</v>
      </c>
      <c r="G71" s="13" t="s">
        <v>347</v>
      </c>
      <c r="H71" s="13" t="s">
        <v>348</v>
      </c>
      <c r="I71" s="21" t="s">
        <v>34</v>
      </c>
      <c r="J71" s="13" t="s">
        <v>108</v>
      </c>
      <c r="K71" s="13"/>
      <c r="L71" s="13"/>
      <c r="M71" s="13"/>
      <c r="N71" s="15"/>
      <c r="O71" s="15"/>
    </row>
    <row r="72" customFormat="false" ht="23.85" hidden="false" customHeight="false" outlineLevel="0" collapsed="false">
      <c r="A72" s="16" t="s">
        <v>349</v>
      </c>
      <c r="B72" s="17" t="s">
        <v>350</v>
      </c>
      <c r="C72" s="17" t="s">
        <v>43</v>
      </c>
      <c r="D72" s="17" t="s">
        <v>43</v>
      </c>
      <c r="E72" s="17" t="s">
        <v>43</v>
      </c>
      <c r="F72" s="17" t="s">
        <v>214</v>
      </c>
      <c r="G72" s="17" t="s">
        <v>351</v>
      </c>
      <c r="H72" s="17" t="s">
        <v>352</v>
      </c>
      <c r="I72" s="20" t="s">
        <v>33</v>
      </c>
      <c r="J72" s="17" t="s">
        <v>353</v>
      </c>
      <c r="K72" s="17" t="s">
        <v>354</v>
      </c>
      <c r="L72" s="17"/>
      <c r="M72" s="17"/>
      <c r="N72" s="19"/>
      <c r="O72" s="19" t="s">
        <v>355</v>
      </c>
    </row>
    <row r="73" customFormat="false" ht="15" hidden="false" customHeight="false" outlineLevel="0" collapsed="false">
      <c r="A73" s="12" t="s">
        <v>356</v>
      </c>
      <c r="B73" s="13" t="s">
        <v>269</v>
      </c>
      <c r="C73" s="13" t="s">
        <v>43</v>
      </c>
      <c r="D73" s="13" t="s">
        <v>43</v>
      </c>
      <c r="E73" s="13" t="s">
        <v>43</v>
      </c>
      <c r="F73" s="13" t="s">
        <v>214</v>
      </c>
      <c r="G73" s="13" t="s">
        <v>270</v>
      </c>
      <c r="H73" s="13" t="s">
        <v>271</v>
      </c>
      <c r="I73" s="21" t="s">
        <v>34</v>
      </c>
      <c r="J73" s="13" t="s">
        <v>108</v>
      </c>
      <c r="K73" s="13"/>
      <c r="L73" s="13"/>
      <c r="M73" s="13"/>
      <c r="N73" s="15"/>
      <c r="O73" s="15"/>
    </row>
    <row r="74" customFormat="false" ht="15" hidden="false" customHeight="false" outlineLevel="0" collapsed="false">
      <c r="A74" s="16" t="s">
        <v>357</v>
      </c>
      <c r="B74" s="17" t="s">
        <v>358</v>
      </c>
      <c r="C74" s="17" t="s">
        <v>43</v>
      </c>
      <c r="D74" s="17" t="s">
        <v>43</v>
      </c>
      <c r="E74" s="17" t="s">
        <v>43</v>
      </c>
      <c r="F74" s="17" t="s">
        <v>214</v>
      </c>
      <c r="G74" s="17" t="s">
        <v>270</v>
      </c>
      <c r="H74" s="17" t="s">
        <v>271</v>
      </c>
      <c r="I74" s="18" t="s">
        <v>34</v>
      </c>
      <c r="J74" s="17" t="s">
        <v>108</v>
      </c>
      <c r="K74" s="17"/>
      <c r="L74" s="17"/>
      <c r="M74" s="17" t="s">
        <v>278</v>
      </c>
      <c r="N74" s="19"/>
      <c r="O74" s="19" t="s">
        <v>359</v>
      </c>
    </row>
    <row r="75" customFormat="false" ht="23.85" hidden="false" customHeight="false" outlineLevel="0" collapsed="false">
      <c r="A75" s="12" t="s">
        <v>360</v>
      </c>
      <c r="B75" s="13" t="s">
        <v>361</v>
      </c>
      <c r="C75" s="13" t="s">
        <v>43</v>
      </c>
      <c r="D75" s="13" t="s">
        <v>43</v>
      </c>
      <c r="E75" s="13" t="s">
        <v>43</v>
      </c>
      <c r="F75" s="13" t="s">
        <v>214</v>
      </c>
      <c r="G75" s="13" t="s">
        <v>351</v>
      </c>
      <c r="H75" s="13" t="s">
        <v>352</v>
      </c>
      <c r="I75" s="14" t="s">
        <v>33</v>
      </c>
      <c r="J75" s="13" t="s">
        <v>362</v>
      </c>
      <c r="K75" s="13" t="s">
        <v>354</v>
      </c>
      <c r="L75" s="13"/>
      <c r="M75" s="13"/>
      <c r="N75" s="15"/>
      <c r="O75" s="15" t="s">
        <v>363</v>
      </c>
    </row>
    <row r="76" customFormat="false" ht="15" hidden="false" customHeight="false" outlineLevel="0" collapsed="false">
      <c r="A76" s="16" t="s">
        <v>364</v>
      </c>
      <c r="B76" s="17" t="s">
        <v>274</v>
      </c>
      <c r="C76" s="17" t="s">
        <v>43</v>
      </c>
      <c r="D76" s="17" t="s">
        <v>43</v>
      </c>
      <c r="E76" s="17" t="s">
        <v>43</v>
      </c>
      <c r="F76" s="17" t="s">
        <v>214</v>
      </c>
      <c r="G76" s="17" t="s">
        <v>347</v>
      </c>
      <c r="H76" s="17" t="s">
        <v>348</v>
      </c>
      <c r="I76" s="18" t="s">
        <v>34</v>
      </c>
      <c r="J76" s="17" t="s">
        <v>108</v>
      </c>
      <c r="K76" s="17"/>
      <c r="L76" s="17"/>
      <c r="M76" s="17"/>
      <c r="N76" s="19"/>
      <c r="O76" s="19"/>
    </row>
    <row r="77" customFormat="false" ht="15" hidden="false" customHeight="false" outlineLevel="0" collapsed="false">
      <c r="A77" s="12" t="s">
        <v>365</v>
      </c>
      <c r="B77" s="13" t="s">
        <v>277</v>
      </c>
      <c r="C77" s="13" t="s">
        <v>43</v>
      </c>
      <c r="D77" s="13" t="s">
        <v>43</v>
      </c>
      <c r="E77" s="13" t="s">
        <v>43</v>
      </c>
      <c r="F77" s="13" t="s">
        <v>214</v>
      </c>
      <c r="G77" s="13" t="s">
        <v>347</v>
      </c>
      <c r="H77" s="13" t="s">
        <v>348</v>
      </c>
      <c r="I77" s="21" t="s">
        <v>34</v>
      </c>
      <c r="J77" s="13" t="s">
        <v>108</v>
      </c>
      <c r="K77" s="13"/>
      <c r="L77" s="13"/>
      <c r="M77" s="13" t="s">
        <v>278</v>
      </c>
      <c r="N77" s="15"/>
      <c r="O77" s="15"/>
    </row>
    <row r="78" customFormat="false" ht="15" hidden="false" customHeight="false" outlineLevel="0" collapsed="false">
      <c r="A78" s="16" t="s">
        <v>366</v>
      </c>
      <c r="B78" s="17" t="s">
        <v>367</v>
      </c>
      <c r="C78" s="17" t="s">
        <v>43</v>
      </c>
      <c r="D78" s="17" t="s">
        <v>43</v>
      </c>
      <c r="E78" s="17" t="s">
        <v>43</v>
      </c>
      <c r="F78" s="17" t="s">
        <v>214</v>
      </c>
      <c r="G78" s="17" t="s">
        <v>347</v>
      </c>
      <c r="H78" s="17" t="s">
        <v>348</v>
      </c>
      <c r="I78" s="18" t="s">
        <v>34</v>
      </c>
      <c r="J78" s="17" t="s">
        <v>108</v>
      </c>
      <c r="K78" s="17"/>
      <c r="L78" s="17"/>
      <c r="M78" s="17"/>
      <c r="N78" s="19"/>
      <c r="O78" s="19"/>
    </row>
    <row r="79" customFormat="false" ht="15" hidden="false" customHeight="false" outlineLevel="0" collapsed="false">
      <c r="A79" s="12" t="s">
        <v>368</v>
      </c>
      <c r="B79" s="13" t="s">
        <v>369</v>
      </c>
      <c r="C79" s="13" t="s">
        <v>43</v>
      </c>
      <c r="D79" s="13" t="s">
        <v>43</v>
      </c>
      <c r="E79" s="13" t="s">
        <v>43</v>
      </c>
      <c r="F79" s="13" t="s">
        <v>214</v>
      </c>
      <c r="G79" s="13" t="s">
        <v>347</v>
      </c>
      <c r="H79" s="13" t="s">
        <v>348</v>
      </c>
      <c r="I79" s="21" t="s">
        <v>34</v>
      </c>
      <c r="J79" s="13" t="s">
        <v>108</v>
      </c>
      <c r="K79" s="13"/>
      <c r="L79" s="13"/>
      <c r="M79" s="13" t="s">
        <v>286</v>
      </c>
      <c r="N79" s="15"/>
      <c r="O79" s="15"/>
    </row>
    <row r="80" customFormat="false" ht="15" hidden="false" customHeight="false" outlineLevel="0" collapsed="false">
      <c r="A80" s="16" t="s">
        <v>370</v>
      </c>
      <c r="B80" s="17" t="s">
        <v>371</v>
      </c>
      <c r="C80" s="17" t="s">
        <v>43</v>
      </c>
      <c r="D80" s="17" t="s">
        <v>47</v>
      </c>
      <c r="E80" s="17" t="s">
        <v>40</v>
      </c>
      <c r="F80" s="17" t="s">
        <v>98</v>
      </c>
      <c r="G80" s="17" t="s">
        <v>250</v>
      </c>
      <c r="H80" s="17" t="s">
        <v>251</v>
      </c>
      <c r="I80" s="18" t="s">
        <v>34</v>
      </c>
      <c r="J80" s="17" t="s">
        <v>108</v>
      </c>
      <c r="K80" s="17"/>
      <c r="L80" s="17"/>
      <c r="M80" s="17"/>
      <c r="N80" s="19"/>
      <c r="O80" s="19"/>
    </row>
    <row r="81" customFormat="false" ht="15" hidden="false" customHeight="false" outlineLevel="0" collapsed="false">
      <c r="A81" s="12" t="s">
        <v>372</v>
      </c>
      <c r="B81" s="13" t="s">
        <v>373</v>
      </c>
      <c r="C81" s="13" t="s">
        <v>43</v>
      </c>
      <c r="D81" s="13" t="s">
        <v>47</v>
      </c>
      <c r="E81" s="13" t="s">
        <v>40</v>
      </c>
      <c r="F81" s="13" t="s">
        <v>98</v>
      </c>
      <c r="G81" s="13" t="s">
        <v>242</v>
      </c>
      <c r="H81" s="13" t="s">
        <v>243</v>
      </c>
      <c r="I81" s="14" t="s">
        <v>33</v>
      </c>
      <c r="J81" s="13" t="s">
        <v>244</v>
      </c>
      <c r="K81" s="13" t="s">
        <v>46</v>
      </c>
      <c r="L81" s="13"/>
      <c r="M81" s="13" t="s">
        <v>245</v>
      </c>
      <c r="N81" s="15"/>
      <c r="O81" s="15"/>
    </row>
    <row r="82" customFormat="false" ht="23.85" hidden="false" customHeight="false" outlineLevel="0" collapsed="false">
      <c r="A82" s="16" t="s">
        <v>374</v>
      </c>
      <c r="B82" s="17" t="s">
        <v>375</v>
      </c>
      <c r="C82" s="17" t="s">
        <v>43</v>
      </c>
      <c r="D82" s="17" t="s">
        <v>43</v>
      </c>
      <c r="E82" s="17" t="s">
        <v>43</v>
      </c>
      <c r="F82" s="17" t="s">
        <v>214</v>
      </c>
      <c r="G82" s="17"/>
      <c r="H82" s="17"/>
      <c r="I82" s="18" t="s">
        <v>34</v>
      </c>
      <c r="J82" s="17" t="s">
        <v>108</v>
      </c>
      <c r="K82" s="17"/>
      <c r="L82" s="17"/>
      <c r="M82" s="17"/>
      <c r="N82" s="19"/>
      <c r="O82" s="19" t="s">
        <v>376</v>
      </c>
    </row>
    <row r="83" customFormat="false" ht="23.85" hidden="false" customHeight="false" outlineLevel="0" collapsed="false">
      <c r="A83" s="12" t="s">
        <v>377</v>
      </c>
      <c r="B83" s="13" t="s">
        <v>378</v>
      </c>
      <c r="C83" s="13" t="s">
        <v>43</v>
      </c>
      <c r="D83" s="13" t="s">
        <v>43</v>
      </c>
      <c r="E83" s="13" t="s">
        <v>43</v>
      </c>
      <c r="F83" s="13" t="s">
        <v>214</v>
      </c>
      <c r="G83" s="13" t="s">
        <v>351</v>
      </c>
      <c r="H83" s="13" t="s">
        <v>352</v>
      </c>
      <c r="I83" s="14" t="s">
        <v>33</v>
      </c>
      <c r="J83" s="13" t="s">
        <v>379</v>
      </c>
      <c r="K83" s="13" t="s">
        <v>354</v>
      </c>
      <c r="L83" s="13"/>
      <c r="M83" s="13"/>
      <c r="N83" s="15"/>
      <c r="O83" s="15" t="s">
        <v>380</v>
      </c>
    </row>
    <row r="84" customFormat="false" ht="15" hidden="false" customHeight="false" outlineLevel="0" collapsed="false">
      <c r="A84" s="16" t="s">
        <v>381</v>
      </c>
      <c r="B84" s="17" t="s">
        <v>382</v>
      </c>
      <c r="C84" s="17" t="s">
        <v>43</v>
      </c>
      <c r="D84" s="17" t="s">
        <v>43</v>
      </c>
      <c r="E84" s="17" t="s">
        <v>43</v>
      </c>
      <c r="F84" s="17" t="s">
        <v>214</v>
      </c>
      <c r="G84" s="17" t="s">
        <v>347</v>
      </c>
      <c r="H84" s="17" t="s">
        <v>348</v>
      </c>
      <c r="I84" s="18" t="s">
        <v>34</v>
      </c>
      <c r="J84" s="17" t="s">
        <v>108</v>
      </c>
      <c r="K84" s="17"/>
      <c r="L84" s="17"/>
      <c r="M84" s="17"/>
      <c r="N84" s="19"/>
      <c r="O84" s="19"/>
    </row>
    <row r="85" customFormat="false" ht="15" hidden="false" customHeight="false" outlineLevel="0" collapsed="false">
      <c r="A85" s="12" t="s">
        <v>383</v>
      </c>
      <c r="B85" s="13" t="s">
        <v>384</v>
      </c>
      <c r="C85" s="13" t="s">
        <v>43</v>
      </c>
      <c r="D85" s="13" t="s">
        <v>43</v>
      </c>
      <c r="E85" s="13" t="s">
        <v>43</v>
      </c>
      <c r="F85" s="13" t="s">
        <v>214</v>
      </c>
      <c r="G85" s="13" t="s">
        <v>351</v>
      </c>
      <c r="H85" s="13" t="s">
        <v>352</v>
      </c>
      <c r="I85" s="14" t="s">
        <v>33</v>
      </c>
      <c r="J85" s="13" t="s">
        <v>384</v>
      </c>
      <c r="K85" s="13" t="s">
        <v>354</v>
      </c>
      <c r="L85" s="13"/>
      <c r="M85" s="13"/>
      <c r="N85" s="15"/>
      <c r="O85" s="15"/>
    </row>
    <row r="86" customFormat="false" ht="15" hidden="false" customHeight="false" outlineLevel="0" collapsed="false">
      <c r="A86" s="16" t="s">
        <v>385</v>
      </c>
      <c r="B86" s="17" t="s">
        <v>386</v>
      </c>
      <c r="C86" s="17" t="s">
        <v>43</v>
      </c>
      <c r="D86" s="17" t="s">
        <v>43</v>
      </c>
      <c r="E86" s="17" t="s">
        <v>43</v>
      </c>
      <c r="F86" s="17" t="s">
        <v>214</v>
      </c>
      <c r="G86" s="17" t="s">
        <v>347</v>
      </c>
      <c r="H86" s="17" t="s">
        <v>348</v>
      </c>
      <c r="I86" s="18" t="s">
        <v>34</v>
      </c>
      <c r="J86" s="17" t="s">
        <v>108</v>
      </c>
      <c r="K86" s="17"/>
      <c r="L86" s="17"/>
      <c r="M86" s="17"/>
      <c r="N86" s="19"/>
      <c r="O86" s="19"/>
    </row>
    <row r="87" customFormat="false" ht="15" hidden="false" customHeight="false" outlineLevel="0" collapsed="false">
      <c r="A87" s="12" t="s">
        <v>387</v>
      </c>
      <c r="B87" s="13" t="s">
        <v>388</v>
      </c>
      <c r="C87" s="13" t="s">
        <v>43</v>
      </c>
      <c r="D87" s="13" t="s">
        <v>43</v>
      </c>
      <c r="E87" s="13" t="s">
        <v>43</v>
      </c>
      <c r="F87" s="13" t="s">
        <v>214</v>
      </c>
      <c r="G87" s="13" t="s">
        <v>351</v>
      </c>
      <c r="H87" s="13" t="s">
        <v>352</v>
      </c>
      <c r="I87" s="14" t="s">
        <v>33</v>
      </c>
      <c r="J87" s="13" t="s">
        <v>389</v>
      </c>
      <c r="K87" s="13" t="s">
        <v>354</v>
      </c>
      <c r="L87" s="13"/>
      <c r="M87" s="13"/>
      <c r="N87" s="15"/>
      <c r="O87" s="15"/>
    </row>
    <row r="88" customFormat="false" ht="15" hidden="false" customHeight="false" outlineLevel="0" collapsed="false">
      <c r="A88" s="16" t="s">
        <v>390</v>
      </c>
      <c r="B88" s="17" t="s">
        <v>391</v>
      </c>
      <c r="C88" s="17" t="s">
        <v>43</v>
      </c>
      <c r="D88" s="17" t="s">
        <v>43</v>
      </c>
      <c r="E88" s="17" t="s">
        <v>43</v>
      </c>
      <c r="F88" s="17" t="s">
        <v>214</v>
      </c>
      <c r="G88" s="17" t="s">
        <v>392</v>
      </c>
      <c r="H88" s="17" t="s">
        <v>393</v>
      </c>
      <c r="I88" s="18" t="s">
        <v>34</v>
      </c>
      <c r="J88" s="17" t="s">
        <v>108</v>
      </c>
      <c r="K88" s="17"/>
      <c r="L88" s="17"/>
      <c r="M88" s="17" t="s">
        <v>278</v>
      </c>
      <c r="N88" s="19"/>
      <c r="O88" s="19" t="s">
        <v>394</v>
      </c>
    </row>
    <row r="89" customFormat="false" ht="15" hidden="false" customHeight="false" outlineLevel="0" collapsed="false">
      <c r="A89" s="12" t="s">
        <v>395</v>
      </c>
      <c r="B89" s="13" t="s">
        <v>396</v>
      </c>
      <c r="C89" s="13" t="s">
        <v>43</v>
      </c>
      <c r="D89" s="13" t="s">
        <v>43</v>
      </c>
      <c r="E89" s="13" t="s">
        <v>43</v>
      </c>
      <c r="F89" s="13" t="s">
        <v>214</v>
      </c>
      <c r="G89" s="13"/>
      <c r="H89" s="13"/>
      <c r="I89" s="21" t="s">
        <v>34</v>
      </c>
      <c r="J89" s="13" t="s">
        <v>108</v>
      </c>
      <c r="K89" s="13"/>
      <c r="L89" s="13"/>
      <c r="M89" s="13"/>
      <c r="N89" s="15"/>
      <c r="O89" s="15"/>
    </row>
    <row r="90" customFormat="false" ht="15" hidden="false" customHeight="false" outlineLevel="0" collapsed="false">
      <c r="A90" s="16" t="s">
        <v>397</v>
      </c>
      <c r="B90" s="17" t="s">
        <v>398</v>
      </c>
      <c r="C90" s="17" t="s">
        <v>43</v>
      </c>
      <c r="D90" s="17" t="s">
        <v>43</v>
      </c>
      <c r="E90" s="17" t="s">
        <v>43</v>
      </c>
      <c r="F90" s="17" t="s">
        <v>214</v>
      </c>
      <c r="G90" s="17"/>
      <c r="H90" s="17"/>
      <c r="I90" s="18" t="s">
        <v>34</v>
      </c>
      <c r="J90" s="17" t="s">
        <v>108</v>
      </c>
      <c r="K90" s="17"/>
      <c r="L90" s="17"/>
      <c r="M90" s="17"/>
      <c r="N90" s="19"/>
      <c r="O90" s="19"/>
    </row>
    <row r="91" customFormat="false" ht="15" hidden="false" customHeight="false" outlineLevel="0" collapsed="false">
      <c r="A91" s="12" t="s">
        <v>399</v>
      </c>
      <c r="B91" s="13" t="s">
        <v>400</v>
      </c>
      <c r="C91" s="13" t="s">
        <v>43</v>
      </c>
      <c r="D91" s="13" t="s">
        <v>43</v>
      </c>
      <c r="E91" s="13" t="s">
        <v>43</v>
      </c>
      <c r="F91" s="13" t="s">
        <v>214</v>
      </c>
      <c r="G91" s="13"/>
      <c r="H91" s="13"/>
      <c r="I91" s="21" t="s">
        <v>34</v>
      </c>
      <c r="J91" s="13" t="s">
        <v>108</v>
      </c>
      <c r="K91" s="13"/>
      <c r="L91" s="13"/>
      <c r="M91" s="13"/>
      <c r="N91" s="15"/>
      <c r="O91" s="15"/>
    </row>
    <row r="92" customFormat="false" ht="15" hidden="false" customHeight="false" outlineLevel="0" collapsed="false">
      <c r="A92" s="16" t="s">
        <v>401</v>
      </c>
      <c r="B92" s="17" t="s">
        <v>402</v>
      </c>
      <c r="C92" s="17" t="s">
        <v>43</v>
      </c>
      <c r="D92" s="17" t="s">
        <v>43</v>
      </c>
      <c r="E92" s="17" t="s">
        <v>43</v>
      </c>
      <c r="F92" s="17" t="s">
        <v>214</v>
      </c>
      <c r="G92" s="17"/>
      <c r="H92" s="17"/>
      <c r="I92" s="18" t="s">
        <v>34</v>
      </c>
      <c r="J92" s="17" t="s">
        <v>108</v>
      </c>
      <c r="K92" s="17"/>
      <c r="L92" s="17"/>
      <c r="M92" s="17"/>
      <c r="N92" s="19"/>
      <c r="O92" s="19"/>
    </row>
    <row r="93" customFormat="false" ht="35.05" hidden="false" customHeight="false" outlineLevel="0" collapsed="false">
      <c r="A93" s="12" t="s">
        <v>403</v>
      </c>
      <c r="B93" s="13" t="s">
        <v>217</v>
      </c>
      <c r="C93" s="13" t="s">
        <v>43</v>
      </c>
      <c r="D93" s="13" t="s">
        <v>43</v>
      </c>
      <c r="E93" s="13" t="s">
        <v>43</v>
      </c>
      <c r="F93" s="13" t="s">
        <v>214</v>
      </c>
      <c r="G93" s="13" t="s">
        <v>351</v>
      </c>
      <c r="H93" s="13" t="s">
        <v>352</v>
      </c>
      <c r="I93" s="14" t="s">
        <v>33</v>
      </c>
      <c r="J93" s="13" t="s">
        <v>404</v>
      </c>
      <c r="K93" s="13" t="s">
        <v>354</v>
      </c>
      <c r="L93" s="13"/>
      <c r="M93" s="13"/>
      <c r="N93" s="15"/>
      <c r="O93" s="15" t="s">
        <v>405</v>
      </c>
    </row>
    <row r="94" customFormat="false" ht="35.05" hidden="false" customHeight="false" outlineLevel="0" collapsed="false">
      <c r="A94" s="16" t="s">
        <v>406</v>
      </c>
      <c r="B94" s="17" t="s">
        <v>407</v>
      </c>
      <c r="C94" s="17" t="s">
        <v>43</v>
      </c>
      <c r="D94" s="17" t="s">
        <v>43</v>
      </c>
      <c r="E94" s="17" t="s">
        <v>41</v>
      </c>
      <c r="F94" s="17" t="s">
        <v>214</v>
      </c>
      <c r="G94" s="17"/>
      <c r="H94" s="17"/>
      <c r="I94" s="18" t="s">
        <v>34</v>
      </c>
      <c r="J94" s="17" t="s">
        <v>108</v>
      </c>
      <c r="K94" s="17"/>
      <c r="L94" s="17"/>
      <c r="M94" s="17"/>
      <c r="N94" s="19" t="s">
        <v>408</v>
      </c>
      <c r="O94" s="19"/>
    </row>
    <row r="95" customFormat="false" ht="57.45" hidden="false" customHeight="false" outlineLevel="0" collapsed="false">
      <c r="A95" s="12" t="s">
        <v>409</v>
      </c>
      <c r="B95" s="13" t="s">
        <v>410</v>
      </c>
      <c r="C95" s="13" t="s">
        <v>43</v>
      </c>
      <c r="D95" s="13" t="s">
        <v>48</v>
      </c>
      <c r="E95" s="13" t="s">
        <v>41</v>
      </c>
      <c r="F95" s="13" t="s">
        <v>214</v>
      </c>
      <c r="G95" s="13" t="s">
        <v>307</v>
      </c>
      <c r="H95" s="13" t="s">
        <v>308</v>
      </c>
      <c r="I95" s="21" t="s">
        <v>34</v>
      </c>
      <c r="J95" s="13" t="s">
        <v>108</v>
      </c>
      <c r="K95" s="13"/>
      <c r="L95" s="13"/>
      <c r="M95" s="13"/>
      <c r="N95" s="15" t="s">
        <v>411</v>
      </c>
      <c r="O95" s="15"/>
    </row>
    <row r="96" customFormat="false" ht="57.45" hidden="false" customHeight="false" outlineLevel="0" collapsed="false">
      <c r="A96" s="16" t="s">
        <v>412</v>
      </c>
      <c r="B96" s="17" t="s">
        <v>413</v>
      </c>
      <c r="C96" s="17" t="s">
        <v>43</v>
      </c>
      <c r="D96" s="17" t="s">
        <v>48</v>
      </c>
      <c r="E96" s="17" t="s">
        <v>41</v>
      </c>
      <c r="F96" s="17" t="s">
        <v>214</v>
      </c>
      <c r="G96" s="17" t="s">
        <v>307</v>
      </c>
      <c r="H96" s="17" t="s">
        <v>308</v>
      </c>
      <c r="I96" s="18" t="s">
        <v>34</v>
      </c>
      <c r="J96" s="17" t="s">
        <v>108</v>
      </c>
      <c r="K96" s="17"/>
      <c r="L96" s="17"/>
      <c r="M96" s="17"/>
      <c r="N96" s="19" t="s">
        <v>411</v>
      </c>
      <c r="O96" s="19"/>
    </row>
    <row r="97" customFormat="false" ht="57.45" hidden="false" customHeight="false" outlineLevel="0" collapsed="false">
      <c r="A97" s="12" t="s">
        <v>414</v>
      </c>
      <c r="B97" s="13" t="s">
        <v>415</v>
      </c>
      <c r="C97" s="13" t="s">
        <v>43</v>
      </c>
      <c r="D97" s="13" t="s">
        <v>48</v>
      </c>
      <c r="E97" s="13" t="s">
        <v>41</v>
      </c>
      <c r="F97" s="13" t="s">
        <v>214</v>
      </c>
      <c r="G97" s="13" t="s">
        <v>307</v>
      </c>
      <c r="H97" s="13" t="s">
        <v>308</v>
      </c>
      <c r="I97" s="21" t="s">
        <v>34</v>
      </c>
      <c r="J97" s="13" t="s">
        <v>108</v>
      </c>
      <c r="K97" s="13"/>
      <c r="L97" s="13"/>
      <c r="M97" s="13"/>
      <c r="N97" s="15" t="s">
        <v>411</v>
      </c>
      <c r="O97" s="15"/>
    </row>
    <row r="98" customFormat="false" ht="57.45" hidden="false" customHeight="false" outlineLevel="0" collapsed="false">
      <c r="A98" s="16" t="s">
        <v>416</v>
      </c>
      <c r="B98" s="17" t="s">
        <v>417</v>
      </c>
      <c r="C98" s="17" t="s">
        <v>43</v>
      </c>
      <c r="D98" s="17" t="s">
        <v>48</v>
      </c>
      <c r="E98" s="17" t="s">
        <v>41</v>
      </c>
      <c r="F98" s="17" t="s">
        <v>214</v>
      </c>
      <c r="G98" s="17" t="s">
        <v>307</v>
      </c>
      <c r="H98" s="17" t="s">
        <v>308</v>
      </c>
      <c r="I98" s="18" t="s">
        <v>34</v>
      </c>
      <c r="J98" s="17" t="s">
        <v>108</v>
      </c>
      <c r="K98" s="17"/>
      <c r="L98" s="17"/>
      <c r="M98" s="17"/>
      <c r="N98" s="19" t="s">
        <v>411</v>
      </c>
      <c r="O98" s="19"/>
    </row>
    <row r="99" customFormat="false" ht="57.45" hidden="false" customHeight="false" outlineLevel="0" collapsed="false">
      <c r="A99" s="12" t="s">
        <v>418</v>
      </c>
      <c r="B99" s="13" t="s">
        <v>419</v>
      </c>
      <c r="C99" s="13" t="s">
        <v>43</v>
      </c>
      <c r="D99" s="13" t="s">
        <v>48</v>
      </c>
      <c r="E99" s="13" t="s">
        <v>41</v>
      </c>
      <c r="F99" s="13" t="s">
        <v>214</v>
      </c>
      <c r="G99" s="13" t="s">
        <v>307</v>
      </c>
      <c r="H99" s="13" t="s">
        <v>308</v>
      </c>
      <c r="I99" s="21" t="s">
        <v>34</v>
      </c>
      <c r="J99" s="13" t="s">
        <v>108</v>
      </c>
      <c r="K99" s="13"/>
      <c r="L99" s="13"/>
      <c r="M99" s="13"/>
      <c r="N99" s="15" t="s">
        <v>411</v>
      </c>
      <c r="O99" s="15" t="s">
        <v>420</v>
      </c>
    </row>
    <row r="100" customFormat="false" ht="57.45" hidden="false" customHeight="false" outlineLevel="0" collapsed="false">
      <c r="A100" s="16" t="s">
        <v>421</v>
      </c>
      <c r="B100" s="17" t="s">
        <v>422</v>
      </c>
      <c r="C100" s="17" t="s">
        <v>43</v>
      </c>
      <c r="D100" s="17" t="s">
        <v>48</v>
      </c>
      <c r="E100" s="17" t="s">
        <v>41</v>
      </c>
      <c r="F100" s="17" t="s">
        <v>214</v>
      </c>
      <c r="G100" s="17" t="s">
        <v>307</v>
      </c>
      <c r="H100" s="17" t="s">
        <v>308</v>
      </c>
      <c r="I100" s="18" t="s">
        <v>34</v>
      </c>
      <c r="J100" s="17" t="s">
        <v>108</v>
      </c>
      <c r="K100" s="17"/>
      <c r="L100" s="17"/>
      <c r="M100" s="17"/>
      <c r="N100" s="19" t="s">
        <v>411</v>
      </c>
      <c r="O100" s="19"/>
    </row>
    <row r="101" customFormat="false" ht="57.45" hidden="false" customHeight="false" outlineLevel="0" collapsed="false">
      <c r="A101" s="12" t="s">
        <v>423</v>
      </c>
      <c r="B101" s="13" t="s">
        <v>424</v>
      </c>
      <c r="C101" s="13" t="s">
        <v>43</v>
      </c>
      <c r="D101" s="13" t="s">
        <v>48</v>
      </c>
      <c r="E101" s="13" t="s">
        <v>41</v>
      </c>
      <c r="F101" s="13" t="s">
        <v>214</v>
      </c>
      <c r="G101" s="13" t="s">
        <v>307</v>
      </c>
      <c r="H101" s="13" t="s">
        <v>308</v>
      </c>
      <c r="I101" s="21" t="s">
        <v>34</v>
      </c>
      <c r="J101" s="13" t="s">
        <v>108</v>
      </c>
      <c r="K101" s="13"/>
      <c r="L101" s="13"/>
      <c r="M101" s="13"/>
      <c r="N101" s="15" t="s">
        <v>411</v>
      </c>
      <c r="O101" s="15"/>
    </row>
    <row r="102" customFormat="false" ht="57.45" hidden="false" customHeight="false" outlineLevel="0" collapsed="false">
      <c r="A102" s="16" t="s">
        <v>425</v>
      </c>
      <c r="B102" s="17" t="s">
        <v>426</v>
      </c>
      <c r="C102" s="17" t="s">
        <v>43</v>
      </c>
      <c r="D102" s="17" t="s">
        <v>48</v>
      </c>
      <c r="E102" s="17" t="s">
        <v>41</v>
      </c>
      <c r="F102" s="17" t="s">
        <v>214</v>
      </c>
      <c r="G102" s="17" t="s">
        <v>307</v>
      </c>
      <c r="H102" s="17" t="s">
        <v>308</v>
      </c>
      <c r="I102" s="18" t="s">
        <v>34</v>
      </c>
      <c r="J102" s="17" t="s">
        <v>108</v>
      </c>
      <c r="K102" s="17"/>
      <c r="L102" s="17"/>
      <c r="M102" s="17"/>
      <c r="N102" s="19" t="s">
        <v>411</v>
      </c>
      <c r="O102" s="19"/>
    </row>
    <row r="103" customFormat="false" ht="57.45" hidden="false" customHeight="false" outlineLevel="0" collapsed="false">
      <c r="A103" s="12" t="s">
        <v>427</v>
      </c>
      <c r="B103" s="13" t="s">
        <v>428</v>
      </c>
      <c r="C103" s="13" t="s">
        <v>43</v>
      </c>
      <c r="D103" s="13" t="s">
        <v>48</v>
      </c>
      <c r="E103" s="13" t="s">
        <v>41</v>
      </c>
      <c r="F103" s="13" t="s">
        <v>214</v>
      </c>
      <c r="G103" s="13" t="s">
        <v>307</v>
      </c>
      <c r="H103" s="13" t="s">
        <v>308</v>
      </c>
      <c r="I103" s="21" t="s">
        <v>34</v>
      </c>
      <c r="J103" s="13" t="s">
        <v>108</v>
      </c>
      <c r="K103" s="13"/>
      <c r="L103" s="13"/>
      <c r="M103" s="13"/>
      <c r="N103" s="15" t="s">
        <v>411</v>
      </c>
      <c r="O103" s="15"/>
    </row>
    <row r="104" customFormat="false" ht="57.45" hidden="false" customHeight="false" outlineLevel="0" collapsed="false">
      <c r="A104" s="16" t="s">
        <v>429</v>
      </c>
      <c r="B104" s="17" t="s">
        <v>430</v>
      </c>
      <c r="C104" s="17" t="s">
        <v>43</v>
      </c>
      <c r="D104" s="17" t="s">
        <v>48</v>
      </c>
      <c r="E104" s="17" t="s">
        <v>41</v>
      </c>
      <c r="F104" s="17" t="s">
        <v>214</v>
      </c>
      <c r="G104" s="17" t="s">
        <v>307</v>
      </c>
      <c r="H104" s="17" t="s">
        <v>308</v>
      </c>
      <c r="I104" s="18" t="s">
        <v>34</v>
      </c>
      <c r="J104" s="17" t="s">
        <v>108</v>
      </c>
      <c r="K104" s="17"/>
      <c r="L104" s="17"/>
      <c r="M104" s="17"/>
      <c r="N104" s="19" t="s">
        <v>411</v>
      </c>
      <c r="O104" s="19"/>
    </row>
    <row r="105" customFormat="false" ht="57.45" hidden="false" customHeight="false" outlineLevel="0" collapsed="false">
      <c r="A105" s="12" t="s">
        <v>431</v>
      </c>
      <c r="B105" s="13" t="s">
        <v>432</v>
      </c>
      <c r="C105" s="13" t="s">
        <v>43</v>
      </c>
      <c r="D105" s="13" t="s">
        <v>48</v>
      </c>
      <c r="E105" s="13" t="s">
        <v>41</v>
      </c>
      <c r="F105" s="13" t="s">
        <v>214</v>
      </c>
      <c r="G105" s="13" t="s">
        <v>307</v>
      </c>
      <c r="H105" s="13" t="s">
        <v>308</v>
      </c>
      <c r="I105" s="21" t="s">
        <v>34</v>
      </c>
      <c r="J105" s="13" t="s">
        <v>108</v>
      </c>
      <c r="K105" s="13"/>
      <c r="L105" s="13"/>
      <c r="M105" s="13"/>
      <c r="N105" s="15" t="s">
        <v>411</v>
      </c>
      <c r="O105" s="15"/>
    </row>
    <row r="106" customFormat="false" ht="57.45" hidden="false" customHeight="false" outlineLevel="0" collapsed="false">
      <c r="A106" s="16" t="s">
        <v>433</v>
      </c>
      <c r="B106" s="17" t="s">
        <v>434</v>
      </c>
      <c r="C106" s="17" t="s">
        <v>43</v>
      </c>
      <c r="D106" s="17" t="s">
        <v>48</v>
      </c>
      <c r="E106" s="17" t="s">
        <v>41</v>
      </c>
      <c r="F106" s="17" t="s">
        <v>214</v>
      </c>
      <c r="G106" s="17" t="s">
        <v>307</v>
      </c>
      <c r="H106" s="17" t="s">
        <v>308</v>
      </c>
      <c r="I106" s="18" t="s">
        <v>34</v>
      </c>
      <c r="J106" s="17" t="s">
        <v>108</v>
      </c>
      <c r="K106" s="17"/>
      <c r="L106" s="17"/>
      <c r="M106" s="17"/>
      <c r="N106" s="19" t="s">
        <v>411</v>
      </c>
      <c r="O106" s="19"/>
    </row>
    <row r="107" customFormat="false" ht="57.45" hidden="false" customHeight="false" outlineLevel="0" collapsed="false">
      <c r="A107" s="12" t="s">
        <v>435</v>
      </c>
      <c r="B107" s="13" t="s">
        <v>436</v>
      </c>
      <c r="C107" s="13" t="s">
        <v>43</v>
      </c>
      <c r="D107" s="13" t="s">
        <v>48</v>
      </c>
      <c r="E107" s="13" t="s">
        <v>41</v>
      </c>
      <c r="F107" s="13" t="s">
        <v>214</v>
      </c>
      <c r="G107" s="13" t="s">
        <v>307</v>
      </c>
      <c r="H107" s="13" t="s">
        <v>308</v>
      </c>
      <c r="I107" s="21" t="s">
        <v>34</v>
      </c>
      <c r="J107" s="13" t="s">
        <v>108</v>
      </c>
      <c r="K107" s="13"/>
      <c r="L107" s="13"/>
      <c r="M107" s="13"/>
      <c r="N107" s="15" t="s">
        <v>411</v>
      </c>
      <c r="O107" s="15"/>
    </row>
    <row r="108" customFormat="false" ht="57.45" hidden="false" customHeight="false" outlineLevel="0" collapsed="false">
      <c r="A108" s="16" t="s">
        <v>437</v>
      </c>
      <c r="B108" s="17" t="s">
        <v>438</v>
      </c>
      <c r="C108" s="17" t="s">
        <v>43</v>
      </c>
      <c r="D108" s="17" t="s">
        <v>48</v>
      </c>
      <c r="E108" s="17" t="s">
        <v>41</v>
      </c>
      <c r="F108" s="17" t="s">
        <v>214</v>
      </c>
      <c r="G108" s="17" t="s">
        <v>307</v>
      </c>
      <c r="H108" s="17" t="s">
        <v>308</v>
      </c>
      <c r="I108" s="18" t="s">
        <v>34</v>
      </c>
      <c r="J108" s="17" t="s">
        <v>108</v>
      </c>
      <c r="K108" s="17"/>
      <c r="L108" s="17"/>
      <c r="M108" s="17"/>
      <c r="N108" s="19" t="s">
        <v>411</v>
      </c>
      <c r="O108" s="19"/>
    </row>
    <row r="109" customFormat="false" ht="57.45" hidden="false" customHeight="false" outlineLevel="0" collapsed="false">
      <c r="A109" s="12" t="s">
        <v>439</v>
      </c>
      <c r="B109" s="13" t="s">
        <v>440</v>
      </c>
      <c r="C109" s="13" t="s">
        <v>43</v>
      </c>
      <c r="D109" s="13" t="s">
        <v>48</v>
      </c>
      <c r="E109" s="13" t="s">
        <v>41</v>
      </c>
      <c r="F109" s="13" t="s">
        <v>214</v>
      </c>
      <c r="G109" s="13" t="s">
        <v>307</v>
      </c>
      <c r="H109" s="13" t="s">
        <v>308</v>
      </c>
      <c r="I109" s="21" t="s">
        <v>34</v>
      </c>
      <c r="J109" s="13" t="s">
        <v>108</v>
      </c>
      <c r="K109" s="13"/>
      <c r="L109" s="13"/>
      <c r="M109" s="13"/>
      <c r="N109" s="15" t="s">
        <v>411</v>
      </c>
      <c r="O109" s="15"/>
    </row>
    <row r="110" customFormat="false" ht="57.45" hidden="false" customHeight="false" outlineLevel="0" collapsed="false">
      <c r="A110" s="16" t="s">
        <v>441</v>
      </c>
      <c r="B110" s="17" t="s">
        <v>442</v>
      </c>
      <c r="C110" s="17" t="s">
        <v>43</v>
      </c>
      <c r="D110" s="17" t="s">
        <v>48</v>
      </c>
      <c r="E110" s="17" t="s">
        <v>41</v>
      </c>
      <c r="F110" s="17" t="s">
        <v>214</v>
      </c>
      <c r="G110" s="17" t="s">
        <v>307</v>
      </c>
      <c r="H110" s="17" t="s">
        <v>308</v>
      </c>
      <c r="I110" s="18" t="s">
        <v>34</v>
      </c>
      <c r="J110" s="17" t="s">
        <v>108</v>
      </c>
      <c r="K110" s="17"/>
      <c r="L110" s="17"/>
      <c r="M110" s="17"/>
      <c r="N110" s="19" t="s">
        <v>411</v>
      </c>
      <c r="O110" s="19"/>
    </row>
    <row r="111" customFormat="false" ht="15" hidden="false" customHeight="false" outlineLevel="0" collapsed="false">
      <c r="A111" s="12" t="s">
        <v>443</v>
      </c>
      <c r="B111" s="13" t="s">
        <v>444</v>
      </c>
      <c r="C111" s="13" t="s">
        <v>50</v>
      </c>
      <c r="D111" s="13" t="s">
        <v>50</v>
      </c>
      <c r="E111" s="13" t="s">
        <v>44</v>
      </c>
      <c r="F111" s="13" t="s">
        <v>214</v>
      </c>
      <c r="G111" s="13"/>
      <c r="H111" s="13"/>
      <c r="I111" s="21" t="s">
        <v>34</v>
      </c>
      <c r="J111" s="13" t="s">
        <v>108</v>
      </c>
      <c r="K111" s="13"/>
      <c r="L111" s="13" t="s">
        <v>445</v>
      </c>
      <c r="M111" s="13"/>
      <c r="N111" s="15"/>
      <c r="O111" s="15"/>
    </row>
    <row r="112" customFormat="false" ht="15" hidden="false" customHeight="false" outlineLevel="0" collapsed="false">
      <c r="A112" s="16" t="s">
        <v>446</v>
      </c>
      <c r="B112" s="17" t="s">
        <v>447</v>
      </c>
      <c r="C112" s="17" t="s">
        <v>50</v>
      </c>
      <c r="D112" s="17" t="s">
        <v>50</v>
      </c>
      <c r="E112" s="17" t="s">
        <v>44</v>
      </c>
      <c r="F112" s="17" t="s">
        <v>214</v>
      </c>
      <c r="G112" s="17"/>
      <c r="H112" s="17"/>
      <c r="I112" s="18" t="s">
        <v>34</v>
      </c>
      <c r="J112" s="17" t="s">
        <v>108</v>
      </c>
      <c r="K112" s="17"/>
      <c r="L112" s="17" t="s">
        <v>448</v>
      </c>
      <c r="M112" s="17"/>
      <c r="N112" s="19"/>
      <c r="O112" s="19"/>
    </row>
    <row r="113" customFormat="false" ht="15" hidden="false" customHeight="false" outlineLevel="0" collapsed="false">
      <c r="A113" s="12" t="s">
        <v>449</v>
      </c>
      <c r="B113" s="13" t="s">
        <v>450</v>
      </c>
      <c r="C113" s="13" t="s">
        <v>50</v>
      </c>
      <c r="D113" s="13" t="s">
        <v>50</v>
      </c>
      <c r="E113" s="13" t="s">
        <v>44</v>
      </c>
      <c r="F113" s="13" t="s">
        <v>214</v>
      </c>
      <c r="G113" s="13"/>
      <c r="H113" s="13"/>
      <c r="I113" s="21" t="s">
        <v>34</v>
      </c>
      <c r="J113" s="13" t="s">
        <v>108</v>
      </c>
      <c r="K113" s="13"/>
      <c r="L113" s="13" t="s">
        <v>448</v>
      </c>
      <c r="M113" s="13"/>
      <c r="N113" s="15"/>
      <c r="O113" s="15"/>
    </row>
    <row r="114" customFormat="false" ht="15" hidden="false" customHeight="false" outlineLevel="0" collapsed="false">
      <c r="A114" s="16" t="s">
        <v>451</v>
      </c>
      <c r="B114" s="17" t="s">
        <v>452</v>
      </c>
      <c r="C114" s="17" t="s">
        <v>50</v>
      </c>
      <c r="D114" s="17" t="s">
        <v>50</v>
      </c>
      <c r="E114" s="17" t="s">
        <v>44</v>
      </c>
      <c r="F114" s="17" t="s">
        <v>214</v>
      </c>
      <c r="G114" s="17"/>
      <c r="H114" s="17"/>
      <c r="I114" s="18" t="s">
        <v>34</v>
      </c>
      <c r="J114" s="17" t="s">
        <v>108</v>
      </c>
      <c r="K114" s="17"/>
      <c r="L114" s="17" t="s">
        <v>453</v>
      </c>
      <c r="M114" s="17"/>
      <c r="N114" s="19"/>
      <c r="O114" s="19"/>
    </row>
    <row r="115" customFormat="false" ht="15" hidden="false" customHeight="false" outlineLevel="0" collapsed="false">
      <c r="A115" s="12" t="s">
        <v>454</v>
      </c>
      <c r="B115" s="13" t="s">
        <v>455</v>
      </c>
      <c r="C115" s="13" t="s">
        <v>50</v>
      </c>
      <c r="D115" s="13" t="s">
        <v>50</v>
      </c>
      <c r="E115" s="13" t="s">
        <v>44</v>
      </c>
      <c r="F115" s="13" t="s">
        <v>214</v>
      </c>
      <c r="G115" s="13"/>
      <c r="H115" s="13"/>
      <c r="I115" s="21" t="s">
        <v>34</v>
      </c>
      <c r="J115" s="13" t="s">
        <v>108</v>
      </c>
      <c r="K115" s="13"/>
      <c r="L115" s="13" t="s">
        <v>299</v>
      </c>
      <c r="M115" s="13"/>
      <c r="N115" s="15"/>
      <c r="O115" s="15"/>
    </row>
    <row r="116" customFormat="false" ht="15" hidden="false" customHeight="false" outlineLevel="0" collapsed="false">
      <c r="A116" s="16" t="s">
        <v>456</v>
      </c>
      <c r="B116" s="17" t="s">
        <v>457</v>
      </c>
      <c r="C116" s="17" t="s">
        <v>50</v>
      </c>
      <c r="D116" s="17" t="s">
        <v>50</v>
      </c>
      <c r="E116" s="17" t="s">
        <v>44</v>
      </c>
      <c r="F116" s="17" t="s">
        <v>214</v>
      </c>
      <c r="G116" s="17"/>
      <c r="H116" s="17"/>
      <c r="I116" s="18" t="s">
        <v>34</v>
      </c>
      <c r="J116" s="17" t="s">
        <v>108</v>
      </c>
      <c r="K116" s="17"/>
      <c r="L116" s="17" t="s">
        <v>458</v>
      </c>
      <c r="M116" s="17"/>
      <c r="N116" s="19"/>
      <c r="O116" s="19"/>
    </row>
    <row r="117" customFormat="false" ht="15" hidden="false" customHeight="false" outlineLevel="0" collapsed="false">
      <c r="A117" s="12" t="s">
        <v>459</v>
      </c>
      <c r="B117" s="13" t="s">
        <v>460</v>
      </c>
      <c r="C117" s="13" t="s">
        <v>50</v>
      </c>
      <c r="D117" s="13" t="s">
        <v>50</v>
      </c>
      <c r="E117" s="13" t="s">
        <v>44</v>
      </c>
      <c r="F117" s="13" t="s">
        <v>214</v>
      </c>
      <c r="G117" s="13"/>
      <c r="H117" s="13"/>
      <c r="I117" s="21" t="s">
        <v>34</v>
      </c>
      <c r="J117" s="13" t="s">
        <v>108</v>
      </c>
      <c r="K117" s="13"/>
      <c r="L117" s="13" t="s">
        <v>461</v>
      </c>
      <c r="M117" s="13"/>
      <c r="N117" s="15"/>
      <c r="O117" s="15"/>
    </row>
    <row r="118" customFormat="false" ht="15" hidden="false" customHeight="false" outlineLevel="0" collapsed="false">
      <c r="A118" s="16" t="s">
        <v>462</v>
      </c>
      <c r="B118" s="17" t="s">
        <v>463</v>
      </c>
      <c r="C118" s="17" t="s">
        <v>50</v>
      </c>
      <c r="D118" s="17" t="s">
        <v>50</v>
      </c>
      <c r="E118" s="17" t="s">
        <v>44</v>
      </c>
      <c r="F118" s="17" t="s">
        <v>214</v>
      </c>
      <c r="G118" s="17"/>
      <c r="H118" s="17"/>
      <c r="I118" s="18" t="s">
        <v>34</v>
      </c>
      <c r="J118" s="17" t="s">
        <v>108</v>
      </c>
      <c r="K118" s="17"/>
      <c r="L118" s="17" t="s">
        <v>299</v>
      </c>
      <c r="M118" s="17"/>
      <c r="N118" s="19"/>
      <c r="O118" s="19"/>
    </row>
    <row r="119" customFormat="false" ht="15" hidden="false" customHeight="false" outlineLevel="0" collapsed="false">
      <c r="A119" s="12" t="s">
        <v>464</v>
      </c>
      <c r="B119" s="13" t="s">
        <v>465</v>
      </c>
      <c r="C119" s="13" t="s">
        <v>50</v>
      </c>
      <c r="D119" s="13" t="s">
        <v>50</v>
      </c>
      <c r="E119" s="13" t="s">
        <v>44</v>
      </c>
      <c r="F119" s="13" t="s">
        <v>214</v>
      </c>
      <c r="G119" s="13" t="s">
        <v>466</v>
      </c>
      <c r="H119" s="13" t="s">
        <v>467</v>
      </c>
      <c r="I119" s="14" t="s">
        <v>33</v>
      </c>
      <c r="J119" s="13" t="s">
        <v>468</v>
      </c>
      <c r="K119" s="13" t="s">
        <v>469</v>
      </c>
      <c r="L119" s="13" t="s">
        <v>470</v>
      </c>
      <c r="M119" s="13"/>
      <c r="N119" s="15"/>
      <c r="O119" s="15" t="s">
        <v>471</v>
      </c>
    </row>
    <row r="120" customFormat="false" ht="35.05" hidden="false" customHeight="false" outlineLevel="0" collapsed="false">
      <c r="A120" s="16" t="s">
        <v>472</v>
      </c>
      <c r="B120" s="17" t="s">
        <v>473</v>
      </c>
      <c r="C120" s="17" t="s">
        <v>50</v>
      </c>
      <c r="D120" s="17" t="s">
        <v>50</v>
      </c>
      <c r="E120" s="17" t="s">
        <v>44</v>
      </c>
      <c r="F120" s="17" t="s">
        <v>214</v>
      </c>
      <c r="G120" s="17"/>
      <c r="H120" s="17"/>
      <c r="I120" s="18" t="s">
        <v>34</v>
      </c>
      <c r="J120" s="17" t="s">
        <v>108</v>
      </c>
      <c r="K120" s="17"/>
      <c r="L120" s="17" t="s">
        <v>474</v>
      </c>
      <c r="M120" s="17"/>
      <c r="N120" s="19"/>
      <c r="O120" s="19" t="s">
        <v>475</v>
      </c>
    </row>
    <row r="121" customFormat="false" ht="15" hidden="false" customHeight="false" outlineLevel="0" collapsed="false">
      <c r="A121" s="12" t="s">
        <v>476</v>
      </c>
      <c r="B121" s="13" t="s">
        <v>477</v>
      </c>
      <c r="C121" s="13" t="s">
        <v>50</v>
      </c>
      <c r="D121" s="13" t="s">
        <v>50</v>
      </c>
      <c r="E121" s="13" t="s">
        <v>44</v>
      </c>
      <c r="F121" s="13" t="s">
        <v>214</v>
      </c>
      <c r="G121" s="13"/>
      <c r="H121" s="13"/>
      <c r="I121" s="21" t="s">
        <v>34</v>
      </c>
      <c r="J121" s="13" t="s">
        <v>108</v>
      </c>
      <c r="K121" s="13"/>
      <c r="L121" s="13" t="s">
        <v>478</v>
      </c>
      <c r="M121" s="13"/>
      <c r="N121" s="15"/>
      <c r="O121" s="15"/>
    </row>
    <row r="122" customFormat="false" ht="15" hidden="false" customHeight="false" outlineLevel="0" collapsed="false">
      <c r="A122" s="16" t="s">
        <v>479</v>
      </c>
      <c r="B122" s="17" t="s">
        <v>480</v>
      </c>
      <c r="C122" s="17" t="s">
        <v>50</v>
      </c>
      <c r="D122" s="17" t="s">
        <v>50</v>
      </c>
      <c r="E122" s="17" t="s">
        <v>44</v>
      </c>
      <c r="F122" s="17" t="s">
        <v>214</v>
      </c>
      <c r="G122" s="17"/>
      <c r="H122" s="17"/>
      <c r="I122" s="18" t="s">
        <v>34</v>
      </c>
      <c r="J122" s="17" t="s">
        <v>108</v>
      </c>
      <c r="K122" s="17"/>
      <c r="L122" s="17" t="s">
        <v>481</v>
      </c>
      <c r="M122" s="17"/>
      <c r="N122" s="19"/>
      <c r="O122" s="19"/>
    </row>
    <row r="123" customFormat="false" ht="15" hidden="false" customHeight="false" outlineLevel="0" collapsed="false">
      <c r="A123" s="12" t="s">
        <v>482</v>
      </c>
      <c r="B123" s="13" t="s">
        <v>483</v>
      </c>
      <c r="C123" s="13" t="s">
        <v>50</v>
      </c>
      <c r="D123" s="13" t="s">
        <v>50</v>
      </c>
      <c r="E123" s="13" t="s">
        <v>44</v>
      </c>
      <c r="F123" s="13" t="s">
        <v>214</v>
      </c>
      <c r="G123" s="13"/>
      <c r="H123" s="13"/>
      <c r="I123" s="21" t="s">
        <v>34</v>
      </c>
      <c r="J123" s="13" t="s">
        <v>108</v>
      </c>
      <c r="K123" s="13"/>
      <c r="L123" s="13" t="s">
        <v>484</v>
      </c>
      <c r="M123" s="13"/>
      <c r="N123" s="15"/>
      <c r="O123" s="15"/>
    </row>
    <row r="124" customFormat="false" ht="15" hidden="false" customHeight="false" outlineLevel="0" collapsed="false">
      <c r="A124" s="16" t="s">
        <v>485</v>
      </c>
      <c r="B124" s="17" t="s">
        <v>388</v>
      </c>
      <c r="C124" s="17" t="s">
        <v>50</v>
      </c>
      <c r="D124" s="17" t="s">
        <v>43</v>
      </c>
      <c r="E124" s="17" t="s">
        <v>43</v>
      </c>
      <c r="F124" s="17" t="s">
        <v>214</v>
      </c>
      <c r="G124" s="17" t="s">
        <v>392</v>
      </c>
      <c r="H124" s="17" t="s">
        <v>393</v>
      </c>
      <c r="I124" s="18" t="s">
        <v>34</v>
      </c>
      <c r="J124" s="17" t="s">
        <v>108</v>
      </c>
      <c r="K124" s="17"/>
      <c r="L124" s="17" t="s">
        <v>478</v>
      </c>
      <c r="M124" s="17"/>
      <c r="N124" s="19"/>
      <c r="O124" s="19"/>
    </row>
    <row r="125" customFormat="false" ht="23.85" hidden="false" customHeight="false" outlineLevel="0" collapsed="false">
      <c r="A125" s="12" t="s">
        <v>486</v>
      </c>
      <c r="B125" s="13" t="s">
        <v>487</v>
      </c>
      <c r="C125" s="13" t="s">
        <v>50</v>
      </c>
      <c r="D125" s="13" t="s">
        <v>43</v>
      </c>
      <c r="E125" s="13" t="s">
        <v>43</v>
      </c>
      <c r="F125" s="13" t="s">
        <v>214</v>
      </c>
      <c r="G125" s="13" t="s">
        <v>392</v>
      </c>
      <c r="H125" s="13" t="s">
        <v>393</v>
      </c>
      <c r="I125" s="21" t="s">
        <v>34</v>
      </c>
      <c r="J125" s="13" t="s">
        <v>108</v>
      </c>
      <c r="K125" s="13"/>
      <c r="L125" s="13" t="s">
        <v>488</v>
      </c>
      <c r="M125" s="13" t="s">
        <v>278</v>
      </c>
      <c r="N125" s="15"/>
      <c r="O125" s="15" t="s">
        <v>489</v>
      </c>
    </row>
    <row r="126" customFormat="false" ht="15" hidden="false" customHeight="false" outlineLevel="0" collapsed="false">
      <c r="A126" s="16" t="s">
        <v>490</v>
      </c>
      <c r="B126" s="17" t="s">
        <v>491</v>
      </c>
      <c r="C126" s="17" t="s">
        <v>50</v>
      </c>
      <c r="D126" s="17" t="s">
        <v>50</v>
      </c>
      <c r="E126" s="17" t="s">
        <v>44</v>
      </c>
      <c r="F126" s="17" t="s">
        <v>214</v>
      </c>
      <c r="G126" s="17"/>
      <c r="H126" s="17"/>
      <c r="I126" s="18" t="s">
        <v>34</v>
      </c>
      <c r="J126" s="17" t="s">
        <v>108</v>
      </c>
      <c r="K126" s="17"/>
      <c r="L126" s="17" t="s">
        <v>492</v>
      </c>
      <c r="M126" s="17"/>
      <c r="N126" s="19"/>
      <c r="O126" s="19"/>
    </row>
    <row r="127" customFormat="false" ht="23.85" hidden="false" customHeight="false" outlineLevel="0" collapsed="false">
      <c r="A127" s="12" t="s">
        <v>493</v>
      </c>
      <c r="B127" s="13" t="s">
        <v>494</v>
      </c>
      <c r="C127" s="13" t="s">
        <v>50</v>
      </c>
      <c r="D127" s="13" t="s">
        <v>50</v>
      </c>
      <c r="E127" s="13" t="s">
        <v>44</v>
      </c>
      <c r="F127" s="13" t="s">
        <v>214</v>
      </c>
      <c r="G127" s="13" t="s">
        <v>466</v>
      </c>
      <c r="H127" s="13" t="s">
        <v>467</v>
      </c>
      <c r="I127" s="14" t="s">
        <v>33</v>
      </c>
      <c r="J127" s="13" t="s">
        <v>495</v>
      </c>
      <c r="K127" s="13" t="s">
        <v>469</v>
      </c>
      <c r="L127" s="13" t="s">
        <v>496</v>
      </c>
      <c r="M127" s="13"/>
      <c r="N127" s="15"/>
      <c r="O127" s="15" t="s">
        <v>497</v>
      </c>
    </row>
    <row r="128" customFormat="false" ht="15" hidden="false" customHeight="false" outlineLevel="0" collapsed="false">
      <c r="A128" s="16" t="s">
        <v>498</v>
      </c>
      <c r="B128" s="17" t="s">
        <v>386</v>
      </c>
      <c r="C128" s="17" t="s">
        <v>50</v>
      </c>
      <c r="D128" s="17" t="s">
        <v>50</v>
      </c>
      <c r="E128" s="17" t="s">
        <v>44</v>
      </c>
      <c r="F128" s="17" t="s">
        <v>214</v>
      </c>
      <c r="G128" s="17"/>
      <c r="H128" s="17"/>
      <c r="I128" s="18" t="s">
        <v>34</v>
      </c>
      <c r="J128" s="17" t="s">
        <v>108</v>
      </c>
      <c r="K128" s="17"/>
      <c r="L128" s="17" t="s">
        <v>499</v>
      </c>
      <c r="M128" s="17"/>
      <c r="N128" s="19"/>
      <c r="O128" s="19"/>
    </row>
    <row r="129" customFormat="false" ht="15" hidden="false" customHeight="false" outlineLevel="0" collapsed="false">
      <c r="A129" s="12" t="s">
        <v>500</v>
      </c>
      <c r="B129" s="13" t="s">
        <v>501</v>
      </c>
      <c r="C129" s="13" t="s">
        <v>50</v>
      </c>
      <c r="D129" s="13" t="s">
        <v>50</v>
      </c>
      <c r="E129" s="13" t="s">
        <v>44</v>
      </c>
      <c r="F129" s="13" t="s">
        <v>214</v>
      </c>
      <c r="G129" s="13"/>
      <c r="H129" s="13"/>
      <c r="I129" s="21" t="s">
        <v>34</v>
      </c>
      <c r="J129" s="13" t="s">
        <v>108</v>
      </c>
      <c r="K129" s="13"/>
      <c r="L129" s="13" t="s">
        <v>502</v>
      </c>
      <c r="M129" s="13"/>
      <c r="N129" s="15"/>
      <c r="O129" s="15"/>
    </row>
    <row r="130" customFormat="false" ht="15" hidden="false" customHeight="false" outlineLevel="0" collapsed="false">
      <c r="A130" s="16" t="s">
        <v>503</v>
      </c>
      <c r="B130" s="17" t="s">
        <v>504</v>
      </c>
      <c r="C130" s="17" t="s">
        <v>50</v>
      </c>
      <c r="D130" s="17" t="s">
        <v>50</v>
      </c>
      <c r="E130" s="17" t="s">
        <v>44</v>
      </c>
      <c r="F130" s="17" t="s">
        <v>214</v>
      </c>
      <c r="G130" s="17"/>
      <c r="H130" s="17"/>
      <c r="I130" s="18" t="s">
        <v>34</v>
      </c>
      <c r="J130" s="17" t="s">
        <v>108</v>
      </c>
      <c r="K130" s="17"/>
      <c r="L130" s="17" t="s">
        <v>267</v>
      </c>
      <c r="M130" s="17"/>
      <c r="N130" s="19"/>
      <c r="O130" s="19"/>
    </row>
    <row r="131" customFormat="false" ht="15" hidden="false" customHeight="false" outlineLevel="0" collapsed="false">
      <c r="A131" s="12" t="s">
        <v>505</v>
      </c>
      <c r="B131" s="13" t="s">
        <v>506</v>
      </c>
      <c r="C131" s="13" t="s">
        <v>50</v>
      </c>
      <c r="D131" s="13" t="s">
        <v>50</v>
      </c>
      <c r="E131" s="13" t="s">
        <v>44</v>
      </c>
      <c r="F131" s="13" t="s">
        <v>214</v>
      </c>
      <c r="G131" s="13" t="s">
        <v>507</v>
      </c>
      <c r="H131" s="13" t="s">
        <v>508</v>
      </c>
      <c r="I131" s="21" t="s">
        <v>34</v>
      </c>
      <c r="J131" s="13" t="s">
        <v>108</v>
      </c>
      <c r="K131" s="13"/>
      <c r="L131" s="13" t="s">
        <v>509</v>
      </c>
      <c r="M131" s="13"/>
      <c r="N131" s="15"/>
      <c r="O131" s="15"/>
    </row>
    <row r="132" customFormat="false" ht="15" hidden="false" customHeight="false" outlineLevel="0" collapsed="false">
      <c r="A132" s="16" t="s">
        <v>510</v>
      </c>
      <c r="B132" s="17" t="s">
        <v>511</v>
      </c>
      <c r="C132" s="17" t="s">
        <v>50</v>
      </c>
      <c r="D132" s="17" t="s">
        <v>50</v>
      </c>
      <c r="E132" s="17" t="s">
        <v>44</v>
      </c>
      <c r="F132" s="17" t="s">
        <v>214</v>
      </c>
      <c r="G132" s="17" t="s">
        <v>507</v>
      </c>
      <c r="H132" s="17" t="s">
        <v>508</v>
      </c>
      <c r="I132" s="18" t="s">
        <v>34</v>
      </c>
      <c r="J132" s="17" t="s">
        <v>108</v>
      </c>
      <c r="K132" s="17"/>
      <c r="L132" s="17" t="s">
        <v>509</v>
      </c>
      <c r="M132" s="17" t="s">
        <v>512</v>
      </c>
      <c r="N132" s="19"/>
      <c r="O132" s="19"/>
    </row>
    <row r="133" customFormat="false" ht="15" hidden="false" customHeight="false" outlineLevel="0" collapsed="false">
      <c r="A133" s="12" t="s">
        <v>513</v>
      </c>
      <c r="B133" s="13" t="s">
        <v>514</v>
      </c>
      <c r="C133" s="13" t="s">
        <v>50</v>
      </c>
      <c r="D133" s="13" t="s">
        <v>50</v>
      </c>
      <c r="E133" s="13" t="s">
        <v>44</v>
      </c>
      <c r="F133" s="13" t="s">
        <v>214</v>
      </c>
      <c r="G133" s="13" t="s">
        <v>507</v>
      </c>
      <c r="H133" s="13" t="s">
        <v>508</v>
      </c>
      <c r="I133" s="21" t="s">
        <v>34</v>
      </c>
      <c r="J133" s="13" t="s">
        <v>108</v>
      </c>
      <c r="K133" s="13"/>
      <c r="L133" s="13" t="s">
        <v>299</v>
      </c>
      <c r="M133" s="13" t="s">
        <v>512</v>
      </c>
      <c r="N133" s="15"/>
      <c r="O133" s="15"/>
    </row>
    <row r="134" customFormat="false" ht="15" hidden="false" customHeight="false" outlineLevel="0" collapsed="false">
      <c r="A134" s="16" t="s">
        <v>515</v>
      </c>
      <c r="B134" s="17" t="s">
        <v>516</v>
      </c>
      <c r="C134" s="17" t="s">
        <v>50</v>
      </c>
      <c r="D134" s="17" t="s">
        <v>50</v>
      </c>
      <c r="E134" s="17" t="s">
        <v>44</v>
      </c>
      <c r="F134" s="17" t="s">
        <v>214</v>
      </c>
      <c r="G134" s="17" t="s">
        <v>507</v>
      </c>
      <c r="H134" s="17" t="s">
        <v>508</v>
      </c>
      <c r="I134" s="18" t="s">
        <v>34</v>
      </c>
      <c r="J134" s="17" t="s">
        <v>108</v>
      </c>
      <c r="K134" s="17"/>
      <c r="L134" s="17" t="s">
        <v>509</v>
      </c>
      <c r="M134" s="17" t="s">
        <v>512</v>
      </c>
      <c r="N134" s="19"/>
      <c r="O134" s="19"/>
    </row>
    <row r="135" customFormat="false" ht="15" hidden="false" customHeight="false" outlineLevel="0" collapsed="false">
      <c r="A135" s="12" t="s">
        <v>517</v>
      </c>
      <c r="B135" s="13" t="s">
        <v>518</v>
      </c>
      <c r="C135" s="13" t="s">
        <v>50</v>
      </c>
      <c r="D135" s="13" t="s">
        <v>50</v>
      </c>
      <c r="E135" s="13" t="s">
        <v>44</v>
      </c>
      <c r="F135" s="13" t="s">
        <v>214</v>
      </c>
      <c r="G135" s="13" t="s">
        <v>507</v>
      </c>
      <c r="H135" s="13" t="s">
        <v>508</v>
      </c>
      <c r="I135" s="21" t="s">
        <v>34</v>
      </c>
      <c r="J135" s="13" t="s">
        <v>108</v>
      </c>
      <c r="K135" s="13"/>
      <c r="L135" s="13" t="s">
        <v>299</v>
      </c>
      <c r="M135" s="13" t="s">
        <v>512</v>
      </c>
      <c r="N135" s="15"/>
      <c r="O135" s="15"/>
    </row>
    <row r="136" customFormat="false" ht="15" hidden="false" customHeight="false" outlineLevel="0" collapsed="false">
      <c r="A136" s="16" t="s">
        <v>519</v>
      </c>
      <c r="B136" s="17" t="s">
        <v>520</v>
      </c>
      <c r="C136" s="17" t="s">
        <v>50</v>
      </c>
      <c r="D136" s="17" t="s">
        <v>50</v>
      </c>
      <c r="E136" s="17" t="s">
        <v>44</v>
      </c>
      <c r="F136" s="17" t="s">
        <v>214</v>
      </c>
      <c r="G136" s="17" t="s">
        <v>507</v>
      </c>
      <c r="H136" s="17" t="s">
        <v>508</v>
      </c>
      <c r="I136" s="18" t="s">
        <v>34</v>
      </c>
      <c r="J136" s="17" t="s">
        <v>108</v>
      </c>
      <c r="K136" s="17"/>
      <c r="L136" s="17" t="s">
        <v>509</v>
      </c>
      <c r="M136" s="17" t="s">
        <v>512</v>
      </c>
      <c r="N136" s="19"/>
      <c r="O136" s="19"/>
    </row>
    <row r="137" customFormat="false" ht="15" hidden="false" customHeight="false" outlineLevel="0" collapsed="false">
      <c r="A137" s="12" t="s">
        <v>521</v>
      </c>
      <c r="B137" s="13" t="s">
        <v>522</v>
      </c>
      <c r="C137" s="13" t="s">
        <v>50</v>
      </c>
      <c r="D137" s="13" t="s">
        <v>50</v>
      </c>
      <c r="E137" s="13" t="s">
        <v>44</v>
      </c>
      <c r="F137" s="13" t="s">
        <v>214</v>
      </c>
      <c r="G137" s="13" t="s">
        <v>507</v>
      </c>
      <c r="H137" s="13" t="s">
        <v>508</v>
      </c>
      <c r="I137" s="21" t="s">
        <v>34</v>
      </c>
      <c r="J137" s="13" t="s">
        <v>108</v>
      </c>
      <c r="K137" s="13"/>
      <c r="L137" s="13" t="s">
        <v>509</v>
      </c>
      <c r="M137" s="13" t="s">
        <v>512</v>
      </c>
      <c r="N137" s="15"/>
      <c r="O137" s="15"/>
    </row>
    <row r="138" customFormat="false" ht="15" hidden="false" customHeight="false" outlineLevel="0" collapsed="false">
      <c r="A138" s="16" t="s">
        <v>523</v>
      </c>
      <c r="B138" s="17" t="s">
        <v>388</v>
      </c>
      <c r="C138" s="17" t="s">
        <v>50</v>
      </c>
      <c r="D138" s="17" t="s">
        <v>50</v>
      </c>
      <c r="E138" s="17" t="s">
        <v>44</v>
      </c>
      <c r="F138" s="17" t="s">
        <v>214</v>
      </c>
      <c r="G138" s="17" t="s">
        <v>507</v>
      </c>
      <c r="H138" s="17" t="s">
        <v>508</v>
      </c>
      <c r="I138" s="18" t="s">
        <v>34</v>
      </c>
      <c r="J138" s="17" t="s">
        <v>108</v>
      </c>
      <c r="K138" s="17"/>
      <c r="L138" s="17" t="s">
        <v>478</v>
      </c>
      <c r="M138" s="17" t="s">
        <v>512</v>
      </c>
      <c r="N138" s="19"/>
      <c r="O138" s="19"/>
    </row>
    <row r="139" customFormat="false" ht="35.05" hidden="false" customHeight="false" outlineLevel="0" collapsed="false">
      <c r="A139" s="12" t="s">
        <v>524</v>
      </c>
      <c r="B139" s="13" t="s">
        <v>525</v>
      </c>
      <c r="C139" s="13" t="s">
        <v>50</v>
      </c>
      <c r="D139" s="13" t="s">
        <v>50</v>
      </c>
      <c r="E139" s="13" t="s">
        <v>44</v>
      </c>
      <c r="F139" s="13" t="s">
        <v>214</v>
      </c>
      <c r="G139" s="13" t="s">
        <v>466</v>
      </c>
      <c r="H139" s="13" t="s">
        <v>467</v>
      </c>
      <c r="I139" s="14" t="s">
        <v>33</v>
      </c>
      <c r="J139" s="13" t="s">
        <v>526</v>
      </c>
      <c r="K139" s="13" t="s">
        <v>469</v>
      </c>
      <c r="L139" s="13" t="s">
        <v>509</v>
      </c>
      <c r="M139" s="13"/>
      <c r="N139" s="15"/>
      <c r="O139" s="15" t="s">
        <v>527</v>
      </c>
    </row>
  </sheetData>
  <autoFilter ref="A4:O139"/>
  <mergeCells count="1"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6635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7" min="5" style="0" width="12"/>
    <col collapsed="false" customWidth="true" hidden="false" outlineLevel="0" max="8" min="8" style="0" width="52"/>
  </cols>
  <sheetData>
    <row r="1" customFormat="false" ht="19.7" hidden="false" customHeight="false" outlineLevel="0" collapsed="false">
      <c r="A1" s="1" t="s">
        <v>528</v>
      </c>
    </row>
    <row r="2" customFormat="false" ht="30" hidden="false" customHeight="true" outlineLevel="0" collapsed="false">
      <c r="A2" s="10" t="s">
        <v>529</v>
      </c>
      <c r="B2" s="10"/>
      <c r="C2" s="10"/>
      <c r="D2" s="10"/>
      <c r="E2" s="10"/>
      <c r="F2" s="10"/>
      <c r="G2" s="10"/>
      <c r="H2" s="10"/>
    </row>
    <row r="4" customFormat="false" ht="27.75" hidden="false" customHeight="true" outlineLevel="0" collapsed="false">
      <c r="A4" s="11" t="s">
        <v>530</v>
      </c>
      <c r="B4" s="11" t="s">
        <v>531</v>
      </c>
      <c r="C4" s="11" t="s">
        <v>532</v>
      </c>
      <c r="D4" s="11" t="s">
        <v>533</v>
      </c>
      <c r="E4" s="11" t="s">
        <v>534</v>
      </c>
      <c r="F4" s="11" t="s">
        <v>89</v>
      </c>
      <c r="G4" s="11" t="s">
        <v>535</v>
      </c>
      <c r="H4" s="11" t="s">
        <v>95</v>
      </c>
    </row>
    <row r="5" customFormat="false" ht="46.25" hidden="false" customHeight="false" outlineLevel="0" collapsed="false">
      <c r="A5" s="13" t="s">
        <v>536</v>
      </c>
      <c r="B5" s="13" t="s">
        <v>339</v>
      </c>
      <c r="C5" s="13" t="s">
        <v>537</v>
      </c>
      <c r="D5" s="15" t="s">
        <v>538</v>
      </c>
      <c r="E5" s="13" t="s">
        <v>539</v>
      </c>
      <c r="F5" s="14" t="s">
        <v>33</v>
      </c>
      <c r="G5" s="13" t="s">
        <v>540</v>
      </c>
      <c r="H5" s="15" t="s">
        <v>541</v>
      </c>
    </row>
    <row r="6" customFormat="false" ht="23.85" hidden="false" customHeight="false" outlineLevel="0" collapsed="false">
      <c r="A6" s="17" t="s">
        <v>542</v>
      </c>
      <c r="B6" s="17" t="s">
        <v>154</v>
      </c>
      <c r="C6" s="17" t="s">
        <v>543</v>
      </c>
      <c r="D6" s="19" t="s">
        <v>544</v>
      </c>
      <c r="E6" s="17" t="s">
        <v>545</v>
      </c>
      <c r="F6" s="20" t="s">
        <v>33</v>
      </c>
      <c r="G6" s="17" t="s">
        <v>540</v>
      </c>
      <c r="H6" s="19" t="s">
        <v>546</v>
      </c>
    </row>
    <row r="7" customFormat="false" ht="35.05" hidden="false" customHeight="false" outlineLevel="0" collapsed="false">
      <c r="A7" s="13" t="s">
        <v>547</v>
      </c>
      <c r="B7" s="13" t="s">
        <v>548</v>
      </c>
      <c r="C7" s="13" t="s">
        <v>549</v>
      </c>
      <c r="D7" s="15" t="s">
        <v>550</v>
      </c>
      <c r="E7" s="13" t="s">
        <v>539</v>
      </c>
      <c r="F7" s="22" t="s">
        <v>36</v>
      </c>
      <c r="G7" s="13" t="s">
        <v>551</v>
      </c>
      <c r="H7" s="15" t="s">
        <v>552</v>
      </c>
    </row>
    <row r="8" customFormat="false" ht="23.85" hidden="false" customHeight="false" outlineLevel="0" collapsed="false">
      <c r="A8" s="17" t="s">
        <v>553</v>
      </c>
      <c r="B8" s="17" t="s">
        <v>339</v>
      </c>
      <c r="C8" s="17" t="s">
        <v>554</v>
      </c>
      <c r="D8" s="19" t="s">
        <v>555</v>
      </c>
      <c r="E8" s="17" t="s">
        <v>539</v>
      </c>
      <c r="F8" s="23" t="s">
        <v>36</v>
      </c>
      <c r="G8" s="17" t="s">
        <v>551</v>
      </c>
      <c r="H8" s="19" t="s">
        <v>556</v>
      </c>
    </row>
    <row r="9" customFormat="false" ht="15" hidden="false" customHeight="false" outlineLevel="0" collapsed="false">
      <c r="A9" s="13" t="s">
        <v>557</v>
      </c>
      <c r="B9" s="13" t="s">
        <v>558</v>
      </c>
      <c r="C9" s="13" t="s">
        <v>559</v>
      </c>
      <c r="D9" s="15" t="s">
        <v>560</v>
      </c>
      <c r="E9" s="13" t="s">
        <v>539</v>
      </c>
      <c r="F9" s="22" t="s">
        <v>36</v>
      </c>
      <c r="G9" s="13" t="s">
        <v>551</v>
      </c>
      <c r="H9" s="15" t="s">
        <v>561</v>
      </c>
    </row>
    <row r="10" customFormat="false" ht="23.85" hidden="false" customHeight="false" outlineLevel="0" collapsed="false">
      <c r="A10" s="17" t="s">
        <v>562</v>
      </c>
      <c r="B10" s="17" t="s">
        <v>387</v>
      </c>
      <c r="C10" s="17" t="s">
        <v>563</v>
      </c>
      <c r="D10" s="19" t="s">
        <v>564</v>
      </c>
      <c r="E10" s="17" t="s">
        <v>539</v>
      </c>
      <c r="F10" s="23" t="s">
        <v>36</v>
      </c>
      <c r="G10" s="17" t="s">
        <v>551</v>
      </c>
      <c r="H10" s="19" t="s">
        <v>565</v>
      </c>
    </row>
    <row r="11" customFormat="false" ht="23.85" hidden="false" customHeight="false" outlineLevel="0" collapsed="false">
      <c r="A11" s="13" t="s">
        <v>566</v>
      </c>
      <c r="B11" s="13" t="s">
        <v>493</v>
      </c>
      <c r="C11" s="13" t="s">
        <v>567</v>
      </c>
      <c r="D11" s="15" t="s">
        <v>568</v>
      </c>
      <c r="E11" s="13" t="s">
        <v>539</v>
      </c>
      <c r="F11" s="22" t="s">
        <v>36</v>
      </c>
      <c r="G11" s="13" t="s">
        <v>551</v>
      </c>
      <c r="H11" s="15" t="s">
        <v>569</v>
      </c>
    </row>
    <row r="12" customFormat="false" ht="23.85" hidden="false" customHeight="false" outlineLevel="0" collapsed="false">
      <c r="A12" s="17" t="s">
        <v>570</v>
      </c>
      <c r="B12" s="17" t="s">
        <v>524</v>
      </c>
      <c r="C12" s="17" t="s">
        <v>571</v>
      </c>
      <c r="D12" s="19" t="s">
        <v>572</v>
      </c>
      <c r="E12" s="17" t="s">
        <v>539</v>
      </c>
      <c r="F12" s="23" t="s">
        <v>36</v>
      </c>
      <c r="G12" s="17" t="s">
        <v>551</v>
      </c>
      <c r="H12" s="19" t="s">
        <v>573</v>
      </c>
    </row>
    <row r="13" customFormat="false" ht="23.85" hidden="false" customHeight="false" outlineLevel="0" collapsed="false">
      <c r="A13" s="13" t="s">
        <v>574</v>
      </c>
      <c r="B13" s="13" t="s">
        <v>575</v>
      </c>
      <c r="C13" s="13" t="s">
        <v>576</v>
      </c>
      <c r="D13" s="15" t="s">
        <v>577</v>
      </c>
      <c r="E13" s="13" t="s">
        <v>539</v>
      </c>
      <c r="F13" s="22" t="s">
        <v>36</v>
      </c>
      <c r="G13" s="13" t="s">
        <v>551</v>
      </c>
      <c r="H13" s="15" t="s">
        <v>578</v>
      </c>
    </row>
    <row r="14" customFormat="false" ht="46.25" hidden="false" customHeight="false" outlineLevel="0" collapsed="false">
      <c r="A14" s="17" t="s">
        <v>579</v>
      </c>
      <c r="B14" s="17" t="s">
        <v>321</v>
      </c>
      <c r="C14" s="17" t="s">
        <v>580</v>
      </c>
      <c r="D14" s="19" t="s">
        <v>581</v>
      </c>
      <c r="E14" s="17" t="s">
        <v>580</v>
      </c>
      <c r="F14" s="17" t="s">
        <v>582</v>
      </c>
      <c r="G14" s="17" t="s">
        <v>540</v>
      </c>
      <c r="H14" s="19" t="s">
        <v>583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061DE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8" min="7" style="0" width="12"/>
    <col collapsed="false" customWidth="true" hidden="false" outlineLevel="0" max="9" min="9" style="0" width="46"/>
  </cols>
  <sheetData>
    <row r="1" customFormat="false" ht="19.7" hidden="false" customHeight="false" outlineLevel="0" collapsed="false">
      <c r="A1" s="1" t="s">
        <v>584</v>
      </c>
    </row>
    <row r="2" customFormat="false" ht="30" hidden="false" customHeight="true" outlineLevel="0" collapsed="false">
      <c r="A2" s="10" t="s">
        <v>585</v>
      </c>
      <c r="B2" s="10"/>
      <c r="C2" s="10"/>
      <c r="D2" s="10"/>
      <c r="E2" s="10"/>
      <c r="F2" s="10"/>
      <c r="G2" s="10"/>
      <c r="H2" s="10"/>
      <c r="I2" s="10"/>
    </row>
    <row r="4" customFormat="false" ht="27.75" hidden="false" customHeight="true" outlineLevel="0" collapsed="false">
      <c r="A4" s="11" t="s">
        <v>530</v>
      </c>
      <c r="B4" s="11" t="s">
        <v>586</v>
      </c>
      <c r="C4" s="11" t="s">
        <v>587</v>
      </c>
      <c r="D4" s="11" t="s">
        <v>588</v>
      </c>
      <c r="E4" s="11" t="s">
        <v>589</v>
      </c>
      <c r="F4" s="11" t="s">
        <v>590</v>
      </c>
      <c r="G4" s="11" t="s">
        <v>89</v>
      </c>
      <c r="H4" s="11" t="s">
        <v>535</v>
      </c>
      <c r="I4" s="11" t="s">
        <v>95</v>
      </c>
    </row>
    <row r="5" customFormat="false" ht="23.85" hidden="false" customHeight="false" outlineLevel="0" collapsed="false">
      <c r="A5" s="13" t="s">
        <v>591</v>
      </c>
      <c r="B5" s="13" t="s">
        <v>580</v>
      </c>
      <c r="C5" s="15" t="s">
        <v>592</v>
      </c>
      <c r="D5" s="13" t="s">
        <v>593</v>
      </c>
      <c r="E5" s="13" t="s">
        <v>580</v>
      </c>
      <c r="F5" s="13" t="s">
        <v>594</v>
      </c>
      <c r="G5" s="21" t="s">
        <v>34</v>
      </c>
      <c r="H5" s="13" t="s">
        <v>540</v>
      </c>
      <c r="I5" s="15" t="s">
        <v>595</v>
      </c>
    </row>
    <row r="6" customFormat="false" ht="23.85" hidden="false" customHeight="false" outlineLevel="0" collapsed="false">
      <c r="A6" s="17" t="s">
        <v>596</v>
      </c>
      <c r="B6" s="17" t="s">
        <v>597</v>
      </c>
      <c r="C6" s="19" t="s">
        <v>598</v>
      </c>
      <c r="D6" s="17" t="s">
        <v>599</v>
      </c>
      <c r="E6" s="17" t="s">
        <v>600</v>
      </c>
      <c r="F6" s="17" t="s">
        <v>601</v>
      </c>
      <c r="G6" s="23" t="s">
        <v>36</v>
      </c>
      <c r="H6" s="17" t="s">
        <v>551</v>
      </c>
      <c r="I6" s="19" t="s">
        <v>602</v>
      </c>
    </row>
    <row r="7" customFormat="false" ht="23.85" hidden="false" customHeight="false" outlineLevel="0" collapsed="false">
      <c r="A7" s="13" t="s">
        <v>603</v>
      </c>
      <c r="B7" s="13" t="s">
        <v>604</v>
      </c>
      <c r="C7" s="15" t="s">
        <v>605</v>
      </c>
      <c r="D7" s="13" t="s">
        <v>599</v>
      </c>
      <c r="E7" s="13" t="s">
        <v>606</v>
      </c>
      <c r="F7" s="13" t="s">
        <v>601</v>
      </c>
      <c r="G7" s="22" t="s">
        <v>36</v>
      </c>
      <c r="H7" s="13" t="s">
        <v>551</v>
      </c>
      <c r="I7" s="15" t="s">
        <v>607</v>
      </c>
    </row>
    <row r="8" customFormat="false" ht="35.05" hidden="false" customHeight="false" outlineLevel="0" collapsed="false">
      <c r="A8" s="17" t="s">
        <v>608</v>
      </c>
      <c r="B8" s="17" t="s">
        <v>609</v>
      </c>
      <c r="C8" s="19" t="s">
        <v>610</v>
      </c>
      <c r="D8" s="17" t="s">
        <v>611</v>
      </c>
      <c r="E8" s="17" t="s">
        <v>606</v>
      </c>
      <c r="F8" s="17" t="s">
        <v>601</v>
      </c>
      <c r="G8" s="23" t="s">
        <v>36</v>
      </c>
      <c r="H8" s="17" t="s">
        <v>551</v>
      </c>
      <c r="I8" s="19" t="s">
        <v>612</v>
      </c>
    </row>
    <row r="9" customFormat="false" ht="23.85" hidden="false" customHeight="false" outlineLevel="0" collapsed="false">
      <c r="A9" s="13" t="s">
        <v>613</v>
      </c>
      <c r="B9" s="13" t="s">
        <v>614</v>
      </c>
      <c r="C9" s="15" t="s">
        <v>615</v>
      </c>
      <c r="D9" s="13" t="s">
        <v>611</v>
      </c>
      <c r="E9" s="13" t="s">
        <v>606</v>
      </c>
      <c r="F9" s="13" t="s">
        <v>616</v>
      </c>
      <c r="G9" s="22" t="s">
        <v>36</v>
      </c>
      <c r="H9" s="13" t="s">
        <v>551</v>
      </c>
      <c r="I9" s="15" t="s">
        <v>617</v>
      </c>
    </row>
    <row r="10" customFormat="false" ht="35.05" hidden="false" customHeight="false" outlineLevel="0" collapsed="false">
      <c r="A10" s="17" t="s">
        <v>618</v>
      </c>
      <c r="B10" s="17" t="s">
        <v>619</v>
      </c>
      <c r="C10" s="19" t="s">
        <v>620</v>
      </c>
      <c r="D10" s="17" t="s">
        <v>593</v>
      </c>
      <c r="E10" s="17" t="s">
        <v>621</v>
      </c>
      <c r="F10" s="17" t="s">
        <v>601</v>
      </c>
      <c r="G10" s="23" t="s">
        <v>36</v>
      </c>
      <c r="H10" s="17" t="s">
        <v>551</v>
      </c>
      <c r="I10" s="19" t="s">
        <v>622</v>
      </c>
    </row>
    <row r="11" customFormat="false" ht="35.05" hidden="false" customHeight="false" outlineLevel="0" collapsed="false">
      <c r="A11" s="13" t="s">
        <v>623</v>
      </c>
      <c r="B11" s="13" t="s">
        <v>624</v>
      </c>
      <c r="C11" s="15" t="s">
        <v>625</v>
      </c>
      <c r="D11" s="13" t="s">
        <v>593</v>
      </c>
      <c r="E11" s="13" t="s">
        <v>606</v>
      </c>
      <c r="F11" s="13" t="s">
        <v>601</v>
      </c>
      <c r="G11" s="22" t="s">
        <v>36</v>
      </c>
      <c r="H11" s="13" t="s">
        <v>551</v>
      </c>
      <c r="I11" s="15" t="s">
        <v>626</v>
      </c>
    </row>
    <row r="12" customFormat="false" ht="23.85" hidden="false" customHeight="false" outlineLevel="0" collapsed="false">
      <c r="A12" s="17" t="s">
        <v>627</v>
      </c>
      <c r="B12" s="17" t="s">
        <v>628</v>
      </c>
      <c r="C12" s="19" t="s">
        <v>629</v>
      </c>
      <c r="D12" s="17" t="s">
        <v>593</v>
      </c>
      <c r="E12" s="17" t="s">
        <v>606</v>
      </c>
      <c r="F12" s="17" t="s">
        <v>601</v>
      </c>
      <c r="G12" s="23" t="s">
        <v>36</v>
      </c>
      <c r="H12" s="17" t="s">
        <v>551</v>
      </c>
      <c r="I12" s="19" t="s">
        <v>630</v>
      </c>
    </row>
    <row r="13" customFormat="false" ht="23.85" hidden="false" customHeight="false" outlineLevel="0" collapsed="false">
      <c r="A13" s="13" t="s">
        <v>631</v>
      </c>
      <c r="B13" s="13" t="s">
        <v>632</v>
      </c>
      <c r="C13" s="15" t="s">
        <v>633</v>
      </c>
      <c r="D13" s="13" t="s">
        <v>593</v>
      </c>
      <c r="E13" s="13" t="s">
        <v>600</v>
      </c>
      <c r="F13" s="13" t="s">
        <v>601</v>
      </c>
      <c r="G13" s="22" t="s">
        <v>36</v>
      </c>
      <c r="H13" s="13" t="s">
        <v>551</v>
      </c>
      <c r="I13" s="15" t="s">
        <v>634</v>
      </c>
    </row>
    <row r="14" customFormat="false" ht="23.85" hidden="false" customHeight="false" outlineLevel="0" collapsed="false">
      <c r="A14" s="17" t="s">
        <v>635</v>
      </c>
      <c r="B14" s="17" t="s">
        <v>636</v>
      </c>
      <c r="C14" s="19" t="s">
        <v>637</v>
      </c>
      <c r="D14" s="17" t="s">
        <v>593</v>
      </c>
      <c r="E14" s="17" t="s">
        <v>600</v>
      </c>
      <c r="F14" s="17" t="s">
        <v>601</v>
      </c>
      <c r="G14" s="23" t="s">
        <v>36</v>
      </c>
      <c r="H14" s="17" t="s">
        <v>551</v>
      </c>
      <c r="I14" s="19" t="s">
        <v>638</v>
      </c>
    </row>
    <row r="15" customFormat="false" ht="23.85" hidden="false" customHeight="false" outlineLevel="0" collapsed="false">
      <c r="A15" s="13" t="s">
        <v>639</v>
      </c>
      <c r="B15" s="13" t="s">
        <v>640</v>
      </c>
      <c r="C15" s="15" t="s">
        <v>641</v>
      </c>
      <c r="D15" s="13" t="s">
        <v>593</v>
      </c>
      <c r="E15" s="13" t="s">
        <v>600</v>
      </c>
      <c r="F15" s="13" t="s">
        <v>601</v>
      </c>
      <c r="G15" s="22" t="s">
        <v>36</v>
      </c>
      <c r="H15" s="13" t="s">
        <v>551</v>
      </c>
      <c r="I15" s="15"/>
    </row>
    <row r="16" customFormat="false" ht="35.05" hidden="false" customHeight="false" outlineLevel="0" collapsed="false">
      <c r="A16" s="17" t="s">
        <v>642</v>
      </c>
      <c r="B16" s="17" t="s">
        <v>643</v>
      </c>
      <c r="C16" s="19" t="s">
        <v>644</v>
      </c>
      <c r="D16" s="17" t="s">
        <v>593</v>
      </c>
      <c r="E16" s="17" t="s">
        <v>606</v>
      </c>
      <c r="F16" s="17" t="s">
        <v>601</v>
      </c>
      <c r="G16" s="23" t="s">
        <v>36</v>
      </c>
      <c r="H16" s="17" t="s">
        <v>551</v>
      </c>
      <c r="I16" s="19" t="s">
        <v>645</v>
      </c>
    </row>
    <row r="17" customFormat="false" ht="23.85" hidden="false" customHeight="false" outlineLevel="0" collapsed="false">
      <c r="A17" s="13" t="s">
        <v>646</v>
      </c>
      <c r="B17" s="13" t="s">
        <v>647</v>
      </c>
      <c r="C17" s="15" t="s">
        <v>648</v>
      </c>
      <c r="D17" s="13" t="s">
        <v>593</v>
      </c>
      <c r="E17" s="13" t="s">
        <v>600</v>
      </c>
      <c r="F17" s="13" t="s">
        <v>649</v>
      </c>
      <c r="G17" s="22" t="s">
        <v>36</v>
      </c>
      <c r="H17" s="13" t="s">
        <v>551</v>
      </c>
      <c r="I17" s="15" t="s">
        <v>650</v>
      </c>
    </row>
    <row r="18" customFormat="false" ht="15" hidden="false" customHeight="false" outlineLevel="0" collapsed="false">
      <c r="A18" s="17" t="s">
        <v>651</v>
      </c>
      <c r="B18" s="17" t="s">
        <v>652</v>
      </c>
      <c r="C18" s="19" t="s">
        <v>653</v>
      </c>
      <c r="D18" s="17" t="s">
        <v>593</v>
      </c>
      <c r="E18" s="17" t="s">
        <v>600</v>
      </c>
      <c r="F18" s="17" t="s">
        <v>601</v>
      </c>
      <c r="G18" s="23" t="s">
        <v>36</v>
      </c>
      <c r="H18" s="17" t="s">
        <v>551</v>
      </c>
      <c r="I18" s="19" t="s">
        <v>654</v>
      </c>
    </row>
    <row r="19" customFormat="false" ht="23.85" hidden="false" customHeight="false" outlineLevel="0" collapsed="false">
      <c r="A19" s="13" t="s">
        <v>655</v>
      </c>
      <c r="B19" s="13" t="s">
        <v>656</v>
      </c>
      <c r="C19" s="15" t="s">
        <v>657</v>
      </c>
      <c r="D19" s="13" t="s">
        <v>593</v>
      </c>
      <c r="E19" s="13" t="s">
        <v>606</v>
      </c>
      <c r="F19" s="13" t="s">
        <v>616</v>
      </c>
      <c r="G19" s="22" t="s">
        <v>36</v>
      </c>
      <c r="H19" s="13" t="s">
        <v>551</v>
      </c>
      <c r="I19" s="15" t="s">
        <v>658</v>
      </c>
    </row>
    <row r="20" customFormat="false" ht="23.85" hidden="false" customHeight="false" outlineLevel="0" collapsed="false">
      <c r="A20" s="17" t="s">
        <v>659</v>
      </c>
      <c r="B20" s="17" t="s">
        <v>660</v>
      </c>
      <c r="C20" s="19" t="s">
        <v>661</v>
      </c>
      <c r="D20" s="17" t="s">
        <v>662</v>
      </c>
      <c r="E20" s="17" t="s">
        <v>621</v>
      </c>
      <c r="F20" s="17" t="s">
        <v>649</v>
      </c>
      <c r="G20" s="23" t="s">
        <v>36</v>
      </c>
      <c r="H20" s="17" t="s">
        <v>551</v>
      </c>
      <c r="I20" s="19" t="s">
        <v>663</v>
      </c>
    </row>
    <row r="21" customFormat="false" ht="23.85" hidden="false" customHeight="false" outlineLevel="0" collapsed="false">
      <c r="A21" s="13" t="s">
        <v>664</v>
      </c>
      <c r="B21" s="13" t="s">
        <v>665</v>
      </c>
      <c r="C21" s="15" t="s">
        <v>666</v>
      </c>
      <c r="D21" s="13" t="s">
        <v>593</v>
      </c>
      <c r="E21" s="13" t="s">
        <v>600</v>
      </c>
      <c r="F21" s="13" t="s">
        <v>649</v>
      </c>
      <c r="G21" s="22" t="s">
        <v>36</v>
      </c>
      <c r="H21" s="13" t="s">
        <v>551</v>
      </c>
      <c r="I21" s="15" t="s">
        <v>667</v>
      </c>
    </row>
    <row r="22" customFormat="false" ht="23.85" hidden="false" customHeight="false" outlineLevel="0" collapsed="false">
      <c r="A22" s="17" t="s">
        <v>668</v>
      </c>
      <c r="B22" s="17" t="s">
        <v>669</v>
      </c>
      <c r="C22" s="19" t="s">
        <v>670</v>
      </c>
      <c r="D22" s="17" t="s">
        <v>662</v>
      </c>
      <c r="E22" s="17" t="s">
        <v>671</v>
      </c>
      <c r="F22" s="17" t="s">
        <v>616</v>
      </c>
      <c r="G22" s="20" t="s">
        <v>672</v>
      </c>
      <c r="H22" s="17" t="s">
        <v>540</v>
      </c>
      <c r="I22" s="19" t="s">
        <v>673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7F43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46"/>
  </cols>
  <sheetData>
    <row r="1" customFormat="false" ht="19.7" hidden="false" customHeight="false" outlineLevel="0" collapsed="false">
      <c r="A1" s="1" t="s">
        <v>674</v>
      </c>
    </row>
    <row r="2" customFormat="false" ht="30" hidden="false" customHeight="true" outlineLevel="0" collapsed="false">
      <c r="A2" s="10" t="s">
        <v>675</v>
      </c>
      <c r="B2" s="10"/>
      <c r="C2" s="10"/>
      <c r="D2" s="10"/>
      <c r="E2" s="10"/>
      <c r="F2" s="10"/>
      <c r="G2" s="10"/>
      <c r="H2" s="10"/>
      <c r="I2" s="10"/>
    </row>
    <row r="4" customFormat="false" ht="27.75" hidden="false" customHeight="true" outlineLevel="0" collapsed="false">
      <c r="A4" s="11" t="s">
        <v>530</v>
      </c>
      <c r="B4" s="11" t="s">
        <v>532</v>
      </c>
      <c r="C4" s="11" t="s">
        <v>676</v>
      </c>
      <c r="D4" s="11" t="s">
        <v>677</v>
      </c>
      <c r="E4" s="11" t="s">
        <v>678</v>
      </c>
      <c r="F4" s="11" t="s">
        <v>679</v>
      </c>
      <c r="G4" s="11" t="s">
        <v>89</v>
      </c>
      <c r="H4" s="11" t="s">
        <v>535</v>
      </c>
      <c r="I4" s="11" t="s">
        <v>95</v>
      </c>
    </row>
    <row r="5" customFormat="false" ht="23.85" hidden="false" customHeight="false" outlineLevel="0" collapsed="false">
      <c r="A5" s="13" t="s">
        <v>680</v>
      </c>
      <c r="B5" s="13" t="s">
        <v>681</v>
      </c>
      <c r="C5" s="13" t="s">
        <v>682</v>
      </c>
      <c r="D5" s="15" t="s">
        <v>683</v>
      </c>
      <c r="E5" s="13" t="s">
        <v>684</v>
      </c>
      <c r="F5" s="13" t="s">
        <v>685</v>
      </c>
      <c r="G5" s="14" t="s">
        <v>672</v>
      </c>
      <c r="H5" s="13" t="s">
        <v>540</v>
      </c>
      <c r="I5" s="15" t="s">
        <v>686</v>
      </c>
    </row>
    <row r="6" customFormat="false" ht="15" hidden="false" customHeight="false" outlineLevel="0" collapsed="false">
      <c r="A6" s="17" t="s">
        <v>687</v>
      </c>
      <c r="B6" s="17" t="s">
        <v>688</v>
      </c>
      <c r="C6" s="17" t="s">
        <v>689</v>
      </c>
      <c r="D6" s="19" t="s">
        <v>690</v>
      </c>
      <c r="E6" s="17" t="s">
        <v>684</v>
      </c>
      <c r="F6" s="17" t="s">
        <v>685</v>
      </c>
      <c r="G6" s="20" t="s">
        <v>672</v>
      </c>
      <c r="H6" s="17" t="s">
        <v>540</v>
      </c>
      <c r="I6" s="19" t="s">
        <v>691</v>
      </c>
    </row>
    <row r="7" customFormat="false" ht="35.05" hidden="false" customHeight="false" outlineLevel="0" collapsed="false">
      <c r="A7" s="13" t="s">
        <v>692</v>
      </c>
      <c r="B7" s="13" t="s">
        <v>693</v>
      </c>
      <c r="C7" s="13" t="s">
        <v>694</v>
      </c>
      <c r="D7" s="15" t="s">
        <v>695</v>
      </c>
      <c r="E7" s="13" t="s">
        <v>696</v>
      </c>
      <c r="F7" s="13" t="s">
        <v>580</v>
      </c>
      <c r="G7" s="22" t="s">
        <v>36</v>
      </c>
      <c r="H7" s="13" t="s">
        <v>551</v>
      </c>
      <c r="I7" s="15" t="s">
        <v>697</v>
      </c>
    </row>
    <row r="8" customFormat="false" ht="23.85" hidden="false" customHeight="false" outlineLevel="0" collapsed="false">
      <c r="A8" s="17" t="s">
        <v>698</v>
      </c>
      <c r="B8" s="17" t="s">
        <v>699</v>
      </c>
      <c r="C8" s="17" t="s">
        <v>700</v>
      </c>
      <c r="D8" s="19" t="s">
        <v>701</v>
      </c>
      <c r="E8" s="17" t="s">
        <v>696</v>
      </c>
      <c r="F8" s="17" t="s">
        <v>580</v>
      </c>
      <c r="G8" s="23" t="s">
        <v>36</v>
      </c>
      <c r="H8" s="17" t="s">
        <v>551</v>
      </c>
      <c r="I8" s="19" t="s">
        <v>702</v>
      </c>
    </row>
    <row r="9" customFormat="false" ht="15" hidden="false" customHeight="false" outlineLevel="0" collapsed="false">
      <c r="A9" s="13" t="s">
        <v>703</v>
      </c>
      <c r="B9" s="13" t="s">
        <v>704</v>
      </c>
      <c r="C9" s="13" t="s">
        <v>705</v>
      </c>
      <c r="D9" s="15" t="s">
        <v>706</v>
      </c>
      <c r="E9" s="13" t="s">
        <v>696</v>
      </c>
      <c r="F9" s="13" t="s">
        <v>580</v>
      </c>
      <c r="G9" s="22" t="s">
        <v>36</v>
      </c>
      <c r="H9" s="13" t="s">
        <v>551</v>
      </c>
      <c r="I9" s="15" t="s">
        <v>707</v>
      </c>
    </row>
    <row r="10" customFormat="false" ht="15" hidden="false" customHeight="false" outlineLevel="0" collapsed="false">
      <c r="A10" s="17" t="s">
        <v>708</v>
      </c>
      <c r="B10" s="17" t="s">
        <v>597</v>
      </c>
      <c r="C10" s="17" t="s">
        <v>599</v>
      </c>
      <c r="D10" s="19" t="s">
        <v>709</v>
      </c>
      <c r="E10" s="17" t="s">
        <v>696</v>
      </c>
      <c r="F10" s="17" t="s">
        <v>580</v>
      </c>
      <c r="G10" s="23" t="s">
        <v>36</v>
      </c>
      <c r="H10" s="17" t="s">
        <v>551</v>
      </c>
      <c r="I10" s="19" t="s">
        <v>710</v>
      </c>
    </row>
    <row r="11" customFormat="false" ht="15" hidden="false" customHeight="false" outlineLevel="0" collapsed="false">
      <c r="A11" s="13" t="s">
        <v>711</v>
      </c>
      <c r="B11" s="13" t="s">
        <v>604</v>
      </c>
      <c r="C11" s="13" t="s">
        <v>599</v>
      </c>
      <c r="D11" s="15" t="s">
        <v>712</v>
      </c>
      <c r="E11" s="13" t="s">
        <v>696</v>
      </c>
      <c r="F11" s="13" t="s">
        <v>580</v>
      </c>
      <c r="G11" s="22" t="s">
        <v>36</v>
      </c>
      <c r="H11" s="13" t="s">
        <v>551</v>
      </c>
      <c r="I11" s="15" t="s">
        <v>713</v>
      </c>
    </row>
    <row r="12" customFormat="false" ht="15" hidden="false" customHeight="false" outlineLevel="0" collapsed="false">
      <c r="A12" s="17" t="s">
        <v>714</v>
      </c>
      <c r="B12" s="17" t="s">
        <v>609</v>
      </c>
      <c r="C12" s="17" t="s">
        <v>611</v>
      </c>
      <c r="D12" s="19" t="s">
        <v>715</v>
      </c>
      <c r="E12" s="17" t="s">
        <v>696</v>
      </c>
      <c r="F12" s="17" t="s">
        <v>580</v>
      </c>
      <c r="G12" s="23" t="s">
        <v>36</v>
      </c>
      <c r="H12" s="17" t="s">
        <v>551</v>
      </c>
      <c r="I12" s="19" t="s">
        <v>716</v>
      </c>
    </row>
    <row r="13" customFormat="false" ht="23.85" hidden="false" customHeight="false" outlineLevel="0" collapsed="false">
      <c r="A13" s="13" t="s">
        <v>717</v>
      </c>
      <c r="B13" s="13" t="s">
        <v>609</v>
      </c>
      <c r="C13" s="13" t="s">
        <v>611</v>
      </c>
      <c r="D13" s="15" t="s">
        <v>718</v>
      </c>
      <c r="E13" s="13" t="s">
        <v>696</v>
      </c>
      <c r="F13" s="13" t="s">
        <v>580</v>
      </c>
      <c r="G13" s="22" t="s">
        <v>36</v>
      </c>
      <c r="H13" s="13" t="s">
        <v>551</v>
      </c>
      <c r="I13" s="15" t="s">
        <v>719</v>
      </c>
    </row>
    <row r="14" customFormat="false" ht="23.85" hidden="false" customHeight="false" outlineLevel="0" collapsed="false">
      <c r="A14" s="17" t="s">
        <v>720</v>
      </c>
      <c r="B14" s="17" t="s">
        <v>721</v>
      </c>
      <c r="C14" s="17" t="s">
        <v>593</v>
      </c>
      <c r="D14" s="19" t="s">
        <v>722</v>
      </c>
      <c r="E14" s="17" t="s">
        <v>696</v>
      </c>
      <c r="F14" s="17" t="s">
        <v>580</v>
      </c>
      <c r="G14" s="23" t="s">
        <v>36</v>
      </c>
      <c r="H14" s="17" t="s">
        <v>551</v>
      </c>
      <c r="I14" s="19" t="s">
        <v>723</v>
      </c>
    </row>
    <row r="15" customFormat="false" ht="15" hidden="false" customHeight="false" outlineLevel="0" collapsed="false">
      <c r="A15" s="13" t="s">
        <v>724</v>
      </c>
      <c r="B15" s="13" t="s">
        <v>624</v>
      </c>
      <c r="C15" s="13" t="s">
        <v>725</v>
      </c>
      <c r="D15" s="15" t="s">
        <v>726</v>
      </c>
      <c r="E15" s="13" t="s">
        <v>696</v>
      </c>
      <c r="F15" s="13" t="s">
        <v>580</v>
      </c>
      <c r="G15" s="22" t="s">
        <v>36</v>
      </c>
      <c r="H15" s="13" t="s">
        <v>551</v>
      </c>
      <c r="I15" s="15"/>
    </row>
    <row r="16" customFormat="false" ht="15" hidden="false" customHeight="false" outlineLevel="0" collapsed="false">
      <c r="A16" s="17" t="s">
        <v>727</v>
      </c>
      <c r="B16" s="17" t="s">
        <v>628</v>
      </c>
      <c r="C16" s="17" t="s">
        <v>728</v>
      </c>
      <c r="D16" s="19" t="s">
        <v>729</v>
      </c>
      <c r="E16" s="17" t="s">
        <v>696</v>
      </c>
      <c r="F16" s="17" t="s">
        <v>580</v>
      </c>
      <c r="G16" s="23" t="s">
        <v>36</v>
      </c>
      <c r="H16" s="17" t="s">
        <v>551</v>
      </c>
      <c r="I16" s="19"/>
    </row>
    <row r="17" customFormat="false" ht="15" hidden="false" customHeight="false" outlineLevel="0" collapsed="false">
      <c r="A17" s="13" t="s">
        <v>730</v>
      </c>
      <c r="B17" s="13" t="s">
        <v>632</v>
      </c>
      <c r="C17" s="13" t="s">
        <v>725</v>
      </c>
      <c r="D17" s="15" t="s">
        <v>731</v>
      </c>
      <c r="E17" s="13" t="s">
        <v>696</v>
      </c>
      <c r="F17" s="13" t="s">
        <v>580</v>
      </c>
      <c r="G17" s="22" t="s">
        <v>36</v>
      </c>
      <c r="H17" s="13" t="s">
        <v>551</v>
      </c>
      <c r="I17" s="15" t="s">
        <v>732</v>
      </c>
    </row>
    <row r="18" customFormat="false" ht="15" hidden="false" customHeight="false" outlineLevel="0" collapsed="false">
      <c r="A18" s="17" t="s">
        <v>733</v>
      </c>
      <c r="B18" s="17" t="s">
        <v>640</v>
      </c>
      <c r="C18" s="17" t="s">
        <v>593</v>
      </c>
      <c r="D18" s="19" t="s">
        <v>734</v>
      </c>
      <c r="E18" s="17" t="s">
        <v>696</v>
      </c>
      <c r="F18" s="17" t="s">
        <v>580</v>
      </c>
      <c r="G18" s="23" t="s">
        <v>36</v>
      </c>
      <c r="H18" s="17" t="s">
        <v>551</v>
      </c>
      <c r="I18" s="19" t="s">
        <v>735</v>
      </c>
    </row>
    <row r="19" customFormat="false" ht="15" hidden="false" customHeight="false" outlineLevel="0" collapsed="false">
      <c r="A19" s="13" t="s">
        <v>736</v>
      </c>
      <c r="B19" s="13" t="s">
        <v>737</v>
      </c>
      <c r="C19" s="13" t="s">
        <v>725</v>
      </c>
      <c r="D19" s="15" t="s">
        <v>738</v>
      </c>
      <c r="E19" s="13" t="s">
        <v>696</v>
      </c>
      <c r="F19" s="13" t="s">
        <v>580</v>
      </c>
      <c r="G19" s="22" t="s">
        <v>36</v>
      </c>
      <c r="H19" s="13" t="s">
        <v>551</v>
      </c>
      <c r="I19" s="15" t="s">
        <v>739</v>
      </c>
    </row>
    <row r="20" customFormat="false" ht="23.85" hidden="false" customHeight="false" outlineLevel="0" collapsed="false">
      <c r="A20" s="17" t="s">
        <v>740</v>
      </c>
      <c r="B20" s="17" t="s">
        <v>741</v>
      </c>
      <c r="C20" s="17" t="s">
        <v>725</v>
      </c>
      <c r="D20" s="19" t="s">
        <v>742</v>
      </c>
      <c r="E20" s="17" t="s">
        <v>696</v>
      </c>
      <c r="F20" s="17" t="s">
        <v>580</v>
      </c>
      <c r="G20" s="23" t="s">
        <v>36</v>
      </c>
      <c r="H20" s="17" t="s">
        <v>551</v>
      </c>
      <c r="I20" s="19" t="s">
        <v>743</v>
      </c>
    </row>
    <row r="21" customFormat="false" ht="23.85" hidden="false" customHeight="false" outlineLevel="0" collapsed="false">
      <c r="A21" s="13" t="s">
        <v>744</v>
      </c>
      <c r="B21" s="13" t="s">
        <v>745</v>
      </c>
      <c r="C21" s="13" t="s">
        <v>746</v>
      </c>
      <c r="D21" s="15" t="s">
        <v>217</v>
      </c>
      <c r="E21" s="13" t="s">
        <v>747</v>
      </c>
      <c r="F21" s="13" t="s">
        <v>580</v>
      </c>
      <c r="G21" s="22" t="s">
        <v>36</v>
      </c>
      <c r="H21" s="13" t="s">
        <v>551</v>
      </c>
      <c r="I21" s="15" t="s">
        <v>748</v>
      </c>
    </row>
    <row r="22" customFormat="false" ht="15" hidden="false" customHeight="false" outlineLevel="0" collapsed="false">
      <c r="A22" s="17" t="s">
        <v>749</v>
      </c>
      <c r="B22" s="17" t="s">
        <v>750</v>
      </c>
      <c r="C22" s="17" t="s">
        <v>751</v>
      </c>
      <c r="D22" s="19" t="s">
        <v>752</v>
      </c>
      <c r="E22" s="17" t="s">
        <v>696</v>
      </c>
      <c r="F22" s="17" t="s">
        <v>580</v>
      </c>
      <c r="G22" s="23" t="s">
        <v>36</v>
      </c>
      <c r="H22" s="17" t="s">
        <v>551</v>
      </c>
      <c r="I22" s="19" t="s">
        <v>753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19.7" hidden="false" customHeight="false" outlineLevel="0" collapsed="false">
      <c r="A1" s="1" t="s">
        <v>754</v>
      </c>
    </row>
    <row r="2" customFormat="false" ht="30" hidden="false" customHeight="true" outlineLevel="0" collapsed="false">
      <c r="A2" s="10" t="s">
        <v>755</v>
      </c>
      <c r="B2" s="10"/>
      <c r="C2" s="10"/>
      <c r="D2" s="10"/>
      <c r="E2" s="10"/>
      <c r="F2" s="10"/>
      <c r="G2" s="10"/>
      <c r="H2" s="10"/>
      <c r="I2" s="10"/>
    </row>
    <row r="4" customFormat="false" ht="27.75" hidden="false" customHeight="true" outlineLevel="0" collapsed="false">
      <c r="A4" s="11" t="s">
        <v>530</v>
      </c>
      <c r="B4" s="11" t="s">
        <v>756</v>
      </c>
      <c r="C4" s="11" t="s">
        <v>757</v>
      </c>
      <c r="D4" s="11" t="s">
        <v>758</v>
      </c>
      <c r="E4" s="11" t="s">
        <v>759</v>
      </c>
      <c r="F4" s="11" t="s">
        <v>760</v>
      </c>
      <c r="G4" s="11" t="s">
        <v>89</v>
      </c>
      <c r="H4" s="11" t="s">
        <v>535</v>
      </c>
      <c r="I4" s="11" t="s">
        <v>95</v>
      </c>
    </row>
    <row r="5" customFormat="false" ht="46.25" hidden="false" customHeight="false" outlineLevel="0" collapsed="false">
      <c r="A5" s="13" t="s">
        <v>761</v>
      </c>
      <c r="B5" s="13" t="s">
        <v>174</v>
      </c>
      <c r="C5" s="15" t="s">
        <v>762</v>
      </c>
      <c r="D5" s="15" t="s">
        <v>763</v>
      </c>
      <c r="E5" s="22" t="s">
        <v>764</v>
      </c>
      <c r="F5" s="13" t="s">
        <v>765</v>
      </c>
      <c r="G5" s="13" t="s">
        <v>766</v>
      </c>
      <c r="H5" s="13" t="s">
        <v>540</v>
      </c>
      <c r="I5" s="15" t="s">
        <v>767</v>
      </c>
    </row>
    <row r="6" customFormat="false" ht="23.85" hidden="false" customHeight="false" outlineLevel="0" collapsed="false">
      <c r="A6" s="17" t="s">
        <v>768</v>
      </c>
      <c r="B6" s="17" t="s">
        <v>174</v>
      </c>
      <c r="C6" s="19" t="s">
        <v>769</v>
      </c>
      <c r="D6" s="19" t="s">
        <v>580</v>
      </c>
      <c r="E6" s="23" t="s">
        <v>764</v>
      </c>
      <c r="F6" s="17" t="s">
        <v>770</v>
      </c>
      <c r="G6" s="17" t="s">
        <v>766</v>
      </c>
      <c r="H6" s="17" t="s">
        <v>540</v>
      </c>
      <c r="I6" s="19" t="s">
        <v>771</v>
      </c>
    </row>
    <row r="7" customFormat="false" ht="35.05" hidden="false" customHeight="false" outlineLevel="0" collapsed="false">
      <c r="A7" s="13" t="s">
        <v>772</v>
      </c>
      <c r="B7" s="13" t="s">
        <v>773</v>
      </c>
      <c r="C7" s="15" t="s">
        <v>774</v>
      </c>
      <c r="D7" s="15" t="s">
        <v>775</v>
      </c>
      <c r="E7" s="22" t="s">
        <v>764</v>
      </c>
      <c r="F7" s="13" t="s">
        <v>765</v>
      </c>
      <c r="G7" s="13" t="s">
        <v>766</v>
      </c>
      <c r="H7" s="13" t="s">
        <v>540</v>
      </c>
      <c r="I7" s="15" t="s">
        <v>776</v>
      </c>
    </row>
    <row r="8" customFormat="false" ht="23.85" hidden="false" customHeight="false" outlineLevel="0" collapsed="false">
      <c r="A8" s="17" t="s">
        <v>777</v>
      </c>
      <c r="B8" s="17" t="s">
        <v>778</v>
      </c>
      <c r="C8" s="19" t="s">
        <v>779</v>
      </c>
      <c r="D8" s="19" t="s">
        <v>780</v>
      </c>
      <c r="E8" s="18" t="s">
        <v>606</v>
      </c>
      <c r="F8" s="17" t="s">
        <v>781</v>
      </c>
      <c r="G8" s="17" t="s">
        <v>766</v>
      </c>
      <c r="H8" s="17" t="s">
        <v>540</v>
      </c>
      <c r="I8" s="19" t="s">
        <v>782</v>
      </c>
    </row>
    <row r="9" customFormat="false" ht="23.85" hidden="false" customHeight="false" outlineLevel="0" collapsed="false">
      <c r="A9" s="13" t="s">
        <v>783</v>
      </c>
      <c r="B9" s="13" t="s">
        <v>784</v>
      </c>
      <c r="C9" s="15" t="s">
        <v>785</v>
      </c>
      <c r="D9" s="15" t="s">
        <v>786</v>
      </c>
      <c r="E9" s="21" t="s">
        <v>606</v>
      </c>
      <c r="F9" s="13" t="s">
        <v>781</v>
      </c>
      <c r="G9" s="13" t="s">
        <v>766</v>
      </c>
      <c r="H9" s="13" t="s">
        <v>540</v>
      </c>
      <c r="I9" s="15" t="s">
        <v>787</v>
      </c>
    </row>
    <row r="10" customFormat="false" ht="23.85" hidden="false" customHeight="false" outlineLevel="0" collapsed="false">
      <c r="A10" s="17" t="s">
        <v>788</v>
      </c>
      <c r="B10" s="17" t="s">
        <v>789</v>
      </c>
      <c r="C10" s="19" t="s">
        <v>790</v>
      </c>
      <c r="D10" s="19" t="s">
        <v>791</v>
      </c>
      <c r="E10" s="18" t="s">
        <v>606</v>
      </c>
      <c r="F10" s="17" t="s">
        <v>781</v>
      </c>
      <c r="G10" s="17" t="s">
        <v>766</v>
      </c>
      <c r="H10" s="17" t="s">
        <v>540</v>
      </c>
      <c r="I10" s="19" t="s">
        <v>792</v>
      </c>
    </row>
    <row r="11" customFormat="false" ht="23.85" hidden="false" customHeight="false" outlineLevel="0" collapsed="false">
      <c r="A11" s="13" t="s">
        <v>793</v>
      </c>
      <c r="B11" s="13" t="s">
        <v>794</v>
      </c>
      <c r="C11" s="15" t="s">
        <v>795</v>
      </c>
      <c r="D11" s="15" t="s">
        <v>796</v>
      </c>
      <c r="E11" s="21" t="s">
        <v>606</v>
      </c>
      <c r="F11" s="13" t="s">
        <v>781</v>
      </c>
      <c r="G11" s="13" t="s">
        <v>766</v>
      </c>
      <c r="H11" s="13" t="s">
        <v>540</v>
      </c>
      <c r="I11" s="15" t="s">
        <v>797</v>
      </c>
    </row>
    <row r="12" customFormat="false" ht="35.05" hidden="false" customHeight="false" outlineLevel="0" collapsed="false">
      <c r="A12" s="17" t="s">
        <v>798</v>
      </c>
      <c r="B12" s="17" t="s">
        <v>494</v>
      </c>
      <c r="C12" s="19" t="s">
        <v>799</v>
      </c>
      <c r="D12" s="19" t="s">
        <v>800</v>
      </c>
      <c r="E12" s="18" t="s">
        <v>606</v>
      </c>
      <c r="F12" s="17" t="s">
        <v>765</v>
      </c>
      <c r="G12" s="17" t="s">
        <v>766</v>
      </c>
      <c r="H12" s="17" t="s">
        <v>540</v>
      </c>
      <c r="I12" s="19" t="s">
        <v>801</v>
      </c>
    </row>
    <row r="13" customFormat="false" ht="23.85" hidden="false" customHeight="false" outlineLevel="0" collapsed="false">
      <c r="A13" s="13" t="s">
        <v>802</v>
      </c>
      <c r="B13" s="13" t="s">
        <v>803</v>
      </c>
      <c r="C13" s="15" t="s">
        <v>804</v>
      </c>
      <c r="D13" s="15" t="s">
        <v>805</v>
      </c>
      <c r="E13" s="21" t="s">
        <v>606</v>
      </c>
      <c r="F13" s="13" t="s">
        <v>806</v>
      </c>
      <c r="G13" s="13" t="s">
        <v>766</v>
      </c>
      <c r="H13" s="13" t="s">
        <v>807</v>
      </c>
      <c r="I13" s="15" t="s">
        <v>808</v>
      </c>
    </row>
    <row r="14" customFormat="false" ht="23.85" hidden="false" customHeight="false" outlineLevel="0" collapsed="false">
      <c r="A14" s="17" t="s">
        <v>809</v>
      </c>
      <c r="B14" s="17" t="s">
        <v>803</v>
      </c>
      <c r="C14" s="19" t="s">
        <v>810</v>
      </c>
      <c r="D14" s="19" t="s">
        <v>811</v>
      </c>
      <c r="E14" s="18" t="s">
        <v>606</v>
      </c>
      <c r="F14" s="17" t="s">
        <v>806</v>
      </c>
      <c r="G14" s="17" t="s">
        <v>766</v>
      </c>
      <c r="H14" s="17" t="s">
        <v>540</v>
      </c>
      <c r="I14" s="19" t="s">
        <v>812</v>
      </c>
    </row>
    <row r="15" customFormat="false" ht="23.85" hidden="false" customHeight="false" outlineLevel="0" collapsed="false">
      <c r="A15" s="13" t="s">
        <v>813</v>
      </c>
      <c r="B15" s="13" t="s">
        <v>455</v>
      </c>
      <c r="C15" s="15" t="s">
        <v>814</v>
      </c>
      <c r="D15" s="15" t="s">
        <v>815</v>
      </c>
      <c r="E15" s="21" t="s">
        <v>606</v>
      </c>
      <c r="F15" s="13" t="s">
        <v>816</v>
      </c>
      <c r="G15" s="13" t="s">
        <v>766</v>
      </c>
      <c r="H15" s="13" t="s">
        <v>540</v>
      </c>
      <c r="I15" s="15" t="s">
        <v>817</v>
      </c>
    </row>
    <row r="16" customFormat="false" ht="23.85" hidden="false" customHeight="false" outlineLevel="0" collapsed="false">
      <c r="A16" s="17" t="s">
        <v>818</v>
      </c>
      <c r="B16" s="17" t="s">
        <v>803</v>
      </c>
      <c r="C16" s="19" t="s">
        <v>819</v>
      </c>
      <c r="D16" s="19" t="s">
        <v>820</v>
      </c>
      <c r="E16" s="17" t="s">
        <v>816</v>
      </c>
      <c r="F16" s="17" t="s">
        <v>806</v>
      </c>
      <c r="G16" s="17" t="s">
        <v>766</v>
      </c>
      <c r="H16" s="17" t="s">
        <v>540</v>
      </c>
      <c r="I16" s="19" t="s">
        <v>821</v>
      </c>
    </row>
    <row r="17" customFormat="false" ht="23.85" hidden="false" customHeight="false" outlineLevel="0" collapsed="false">
      <c r="A17" s="13" t="s">
        <v>822</v>
      </c>
      <c r="B17" s="13" t="s">
        <v>794</v>
      </c>
      <c r="C17" s="15" t="s">
        <v>823</v>
      </c>
      <c r="D17" s="15" t="s">
        <v>824</v>
      </c>
      <c r="E17" s="13" t="s">
        <v>816</v>
      </c>
      <c r="F17" s="13" t="s">
        <v>816</v>
      </c>
      <c r="G17" s="13" t="s">
        <v>766</v>
      </c>
      <c r="H17" s="13" t="s">
        <v>540</v>
      </c>
      <c r="I17" s="15" t="s">
        <v>825</v>
      </c>
    </row>
    <row r="18" customFormat="false" ht="15" hidden="false" customHeight="false" outlineLevel="0" collapsed="false">
      <c r="A18" s="17" t="s">
        <v>826</v>
      </c>
      <c r="B18" s="17" t="s">
        <v>794</v>
      </c>
      <c r="C18" s="19" t="s">
        <v>827</v>
      </c>
      <c r="D18" s="19" t="s">
        <v>828</v>
      </c>
      <c r="E18" s="17" t="s">
        <v>816</v>
      </c>
      <c r="F18" s="17" t="s">
        <v>816</v>
      </c>
      <c r="G18" s="17" t="s">
        <v>766</v>
      </c>
      <c r="H18" s="17" t="s">
        <v>551</v>
      </c>
      <c r="I18" s="19" t="s">
        <v>829</v>
      </c>
    </row>
    <row r="19" customFormat="false" ht="23.85" hidden="false" customHeight="false" outlineLevel="0" collapsed="false">
      <c r="A19" s="13" t="s">
        <v>830</v>
      </c>
      <c r="B19" s="13" t="s">
        <v>831</v>
      </c>
      <c r="C19" s="15" t="s">
        <v>832</v>
      </c>
      <c r="D19" s="15" t="s">
        <v>833</v>
      </c>
      <c r="E19" s="13" t="s">
        <v>816</v>
      </c>
      <c r="F19" s="13" t="s">
        <v>806</v>
      </c>
      <c r="G19" s="13" t="s">
        <v>766</v>
      </c>
      <c r="H19" s="13" t="s">
        <v>807</v>
      </c>
      <c r="I19" s="15" t="s">
        <v>834</v>
      </c>
    </row>
    <row r="20" customFormat="false" ht="23.85" hidden="false" customHeight="false" outlineLevel="0" collapsed="false">
      <c r="A20" s="17" t="s">
        <v>835</v>
      </c>
      <c r="B20" s="17" t="s">
        <v>831</v>
      </c>
      <c r="C20" s="19" t="s">
        <v>836</v>
      </c>
      <c r="D20" s="19" t="s">
        <v>837</v>
      </c>
      <c r="E20" s="17" t="s">
        <v>671</v>
      </c>
      <c r="F20" s="17" t="s">
        <v>806</v>
      </c>
      <c r="G20" s="17" t="s">
        <v>766</v>
      </c>
      <c r="H20" s="17" t="s">
        <v>807</v>
      </c>
      <c r="I20" s="19" t="s">
        <v>838</v>
      </c>
    </row>
    <row r="21" customFormat="false" ht="46.25" hidden="false" customHeight="false" outlineLevel="0" collapsed="false">
      <c r="A21" s="13" t="s">
        <v>839</v>
      </c>
      <c r="B21" s="13" t="s">
        <v>465</v>
      </c>
      <c r="C21" s="15" t="s">
        <v>840</v>
      </c>
      <c r="D21" s="15" t="s">
        <v>841</v>
      </c>
      <c r="E21" s="13" t="s">
        <v>671</v>
      </c>
      <c r="F21" s="13" t="s">
        <v>765</v>
      </c>
      <c r="G21" s="13" t="s">
        <v>766</v>
      </c>
      <c r="H21" s="13" t="s">
        <v>540</v>
      </c>
      <c r="I21" s="15" t="s">
        <v>842</v>
      </c>
    </row>
    <row r="22" customFormat="false" ht="23.85" hidden="false" customHeight="false" outlineLevel="0" collapsed="false">
      <c r="A22" s="17" t="s">
        <v>843</v>
      </c>
      <c r="B22" s="17" t="s">
        <v>803</v>
      </c>
      <c r="C22" s="19" t="s">
        <v>844</v>
      </c>
      <c r="D22" s="19" t="s">
        <v>845</v>
      </c>
      <c r="E22" s="17" t="s">
        <v>671</v>
      </c>
      <c r="F22" s="17" t="s">
        <v>770</v>
      </c>
      <c r="G22" s="17" t="s">
        <v>766</v>
      </c>
      <c r="H22" s="17" t="s">
        <v>540</v>
      </c>
      <c r="I22" s="19" t="s">
        <v>846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672E"/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9" min="8" style="0" width="12"/>
  </cols>
  <sheetData>
    <row r="1" customFormat="false" ht="19.7" hidden="false" customHeight="false" outlineLevel="0" collapsed="false">
      <c r="A1" s="1" t="s">
        <v>847</v>
      </c>
    </row>
    <row r="2" customFormat="false" ht="30" hidden="false" customHeight="true" outlineLevel="0" collapsed="false">
      <c r="A2" s="10" t="s">
        <v>848</v>
      </c>
      <c r="B2" s="10"/>
      <c r="C2" s="10"/>
      <c r="D2" s="10"/>
      <c r="E2" s="10"/>
      <c r="F2" s="10"/>
      <c r="G2" s="10"/>
      <c r="H2" s="10"/>
      <c r="I2" s="10"/>
    </row>
    <row r="4" customFormat="false" ht="27.75" hidden="false" customHeight="true" outlineLevel="0" collapsed="false">
      <c r="A4" s="11" t="s">
        <v>530</v>
      </c>
      <c r="B4" s="11" t="s">
        <v>756</v>
      </c>
      <c r="C4" s="11" t="s">
        <v>849</v>
      </c>
      <c r="D4" s="11" t="s">
        <v>850</v>
      </c>
      <c r="E4" s="11" t="s">
        <v>535</v>
      </c>
      <c r="F4" s="11" t="s">
        <v>851</v>
      </c>
      <c r="G4" s="11" t="s">
        <v>852</v>
      </c>
      <c r="H4" s="11" t="s">
        <v>89</v>
      </c>
      <c r="I4" s="11" t="s">
        <v>853</v>
      </c>
    </row>
    <row r="5" customFormat="false" ht="23.85" hidden="false" customHeight="false" outlineLevel="0" collapsed="false">
      <c r="A5" s="13" t="s">
        <v>854</v>
      </c>
      <c r="B5" s="13" t="s">
        <v>174</v>
      </c>
      <c r="C5" s="15" t="s">
        <v>855</v>
      </c>
      <c r="D5" s="15" t="s">
        <v>856</v>
      </c>
      <c r="E5" s="13" t="s">
        <v>540</v>
      </c>
      <c r="F5" s="24"/>
      <c r="G5" s="24"/>
      <c r="H5" s="24" t="s">
        <v>766</v>
      </c>
      <c r="I5" s="24"/>
    </row>
    <row r="6" customFormat="false" ht="23.85" hidden="false" customHeight="false" outlineLevel="0" collapsed="false">
      <c r="A6" s="17" t="s">
        <v>857</v>
      </c>
      <c r="B6" s="17" t="s">
        <v>174</v>
      </c>
      <c r="C6" s="19" t="s">
        <v>858</v>
      </c>
      <c r="D6" s="19" t="s">
        <v>859</v>
      </c>
      <c r="E6" s="17" t="s">
        <v>540</v>
      </c>
      <c r="F6" s="24"/>
      <c r="G6" s="24"/>
      <c r="H6" s="24" t="s">
        <v>766</v>
      </c>
      <c r="I6" s="24"/>
    </row>
    <row r="7" customFormat="false" ht="23.85" hidden="false" customHeight="false" outlineLevel="0" collapsed="false">
      <c r="A7" s="13" t="s">
        <v>860</v>
      </c>
      <c r="B7" s="13" t="s">
        <v>773</v>
      </c>
      <c r="C7" s="15" t="s">
        <v>861</v>
      </c>
      <c r="D7" s="15" t="s">
        <v>862</v>
      </c>
      <c r="E7" s="13" t="s">
        <v>540</v>
      </c>
      <c r="F7" s="24"/>
      <c r="G7" s="24"/>
      <c r="H7" s="24" t="s">
        <v>766</v>
      </c>
      <c r="I7" s="24"/>
    </row>
    <row r="8" customFormat="false" ht="35.05" hidden="false" customHeight="false" outlineLevel="0" collapsed="false">
      <c r="A8" s="17" t="s">
        <v>863</v>
      </c>
      <c r="B8" s="17" t="s">
        <v>864</v>
      </c>
      <c r="C8" s="19" t="s">
        <v>865</v>
      </c>
      <c r="D8" s="19" t="s">
        <v>866</v>
      </c>
      <c r="E8" s="17" t="s">
        <v>540</v>
      </c>
      <c r="F8" s="24"/>
      <c r="G8" s="24"/>
      <c r="H8" s="24" t="s">
        <v>766</v>
      </c>
      <c r="I8" s="24"/>
    </row>
    <row r="9" customFormat="false" ht="23.85" hidden="false" customHeight="false" outlineLevel="0" collapsed="false">
      <c r="A9" s="13" t="s">
        <v>867</v>
      </c>
      <c r="B9" s="13" t="s">
        <v>868</v>
      </c>
      <c r="C9" s="15" t="s">
        <v>869</v>
      </c>
      <c r="D9" s="15" t="s">
        <v>870</v>
      </c>
      <c r="E9" s="13" t="s">
        <v>551</v>
      </c>
      <c r="F9" s="24"/>
      <c r="G9" s="24"/>
      <c r="H9" s="24" t="s">
        <v>766</v>
      </c>
      <c r="I9" s="24"/>
    </row>
    <row r="10" customFormat="false" ht="23.85" hidden="false" customHeight="false" outlineLevel="0" collapsed="false">
      <c r="A10" s="17" t="s">
        <v>871</v>
      </c>
      <c r="B10" s="17" t="s">
        <v>864</v>
      </c>
      <c r="C10" s="19" t="s">
        <v>872</v>
      </c>
      <c r="D10" s="19" t="s">
        <v>873</v>
      </c>
      <c r="E10" s="17" t="s">
        <v>540</v>
      </c>
      <c r="F10" s="24"/>
      <c r="G10" s="24"/>
      <c r="H10" s="24" t="s">
        <v>766</v>
      </c>
      <c r="I10" s="24"/>
    </row>
    <row r="11" customFormat="false" ht="35.05" hidden="false" customHeight="false" outlineLevel="0" collapsed="false">
      <c r="A11" s="13" t="s">
        <v>874</v>
      </c>
      <c r="B11" s="13" t="s">
        <v>864</v>
      </c>
      <c r="C11" s="15" t="s">
        <v>875</v>
      </c>
      <c r="D11" s="15" t="s">
        <v>876</v>
      </c>
      <c r="E11" s="13" t="s">
        <v>551</v>
      </c>
      <c r="F11" s="24"/>
      <c r="G11" s="24"/>
      <c r="H11" s="24" t="s">
        <v>766</v>
      </c>
      <c r="I11" s="24"/>
    </row>
    <row r="12" customFormat="false" ht="15" hidden="false" customHeight="false" outlineLevel="0" collapsed="false">
      <c r="A12" s="17" t="s">
        <v>877</v>
      </c>
      <c r="B12" s="17" t="s">
        <v>878</v>
      </c>
      <c r="C12" s="19" t="s">
        <v>879</v>
      </c>
      <c r="D12" s="19" t="s">
        <v>880</v>
      </c>
      <c r="E12" s="17" t="s">
        <v>551</v>
      </c>
      <c r="F12" s="24"/>
      <c r="G12" s="24"/>
      <c r="H12" s="24" t="s">
        <v>766</v>
      </c>
      <c r="I12" s="24"/>
    </row>
    <row r="13" customFormat="false" ht="23.85" hidden="false" customHeight="false" outlineLevel="0" collapsed="false">
      <c r="A13" s="13" t="s">
        <v>881</v>
      </c>
      <c r="B13" s="13" t="s">
        <v>831</v>
      </c>
      <c r="C13" s="15" t="s">
        <v>882</v>
      </c>
      <c r="D13" s="15" t="s">
        <v>883</v>
      </c>
      <c r="E13" s="13" t="s">
        <v>807</v>
      </c>
      <c r="F13" s="24"/>
      <c r="G13" s="24"/>
      <c r="H13" s="24" t="s">
        <v>766</v>
      </c>
      <c r="I13" s="24"/>
    </row>
    <row r="14" customFormat="false" ht="23.85" hidden="false" customHeight="false" outlineLevel="0" collapsed="false">
      <c r="A14" s="17" t="s">
        <v>884</v>
      </c>
      <c r="B14" s="17" t="s">
        <v>885</v>
      </c>
      <c r="C14" s="19" t="s">
        <v>886</v>
      </c>
      <c r="D14" s="19" t="s">
        <v>887</v>
      </c>
      <c r="E14" s="17" t="s">
        <v>807</v>
      </c>
      <c r="F14" s="24"/>
      <c r="G14" s="24"/>
      <c r="H14" s="24" t="s">
        <v>766</v>
      </c>
      <c r="I14" s="24"/>
    </row>
    <row r="15" customFormat="false" ht="35.05" hidden="false" customHeight="false" outlineLevel="0" collapsed="false">
      <c r="A15" s="13" t="s">
        <v>888</v>
      </c>
      <c r="B15" s="13" t="s">
        <v>803</v>
      </c>
      <c r="C15" s="15" t="s">
        <v>889</v>
      </c>
      <c r="D15" s="15" t="s">
        <v>890</v>
      </c>
      <c r="E15" s="13" t="s">
        <v>540</v>
      </c>
      <c r="F15" s="24"/>
      <c r="G15" s="24"/>
      <c r="H15" s="24" t="s">
        <v>766</v>
      </c>
      <c r="I15" s="24"/>
    </row>
    <row r="16" customFormat="false" ht="35.05" hidden="false" customHeight="false" outlineLevel="0" collapsed="false">
      <c r="A16" s="17" t="s">
        <v>891</v>
      </c>
      <c r="B16" s="17" t="s">
        <v>803</v>
      </c>
      <c r="C16" s="19" t="s">
        <v>892</v>
      </c>
      <c r="D16" s="19" t="s">
        <v>893</v>
      </c>
      <c r="E16" s="17" t="s">
        <v>540</v>
      </c>
      <c r="F16" s="24"/>
      <c r="G16" s="24"/>
      <c r="H16" s="24" t="s">
        <v>766</v>
      </c>
      <c r="I16" s="24"/>
    </row>
    <row r="17" customFormat="false" ht="23.85" hidden="false" customHeight="false" outlineLevel="0" collapsed="false">
      <c r="A17" s="13" t="s">
        <v>894</v>
      </c>
      <c r="B17" s="13" t="s">
        <v>803</v>
      </c>
      <c r="C17" s="15" t="s">
        <v>895</v>
      </c>
      <c r="D17" s="15" t="s">
        <v>896</v>
      </c>
      <c r="E17" s="13" t="s">
        <v>807</v>
      </c>
      <c r="F17" s="24"/>
      <c r="G17" s="24"/>
      <c r="H17" s="24" t="s">
        <v>766</v>
      </c>
      <c r="I17" s="24"/>
    </row>
    <row r="18" customFormat="false" ht="35.05" hidden="false" customHeight="false" outlineLevel="0" collapsed="false">
      <c r="A18" s="17" t="s">
        <v>897</v>
      </c>
      <c r="B18" s="17" t="s">
        <v>494</v>
      </c>
      <c r="C18" s="19" t="s">
        <v>898</v>
      </c>
      <c r="D18" s="19" t="s">
        <v>899</v>
      </c>
      <c r="E18" s="17" t="s">
        <v>540</v>
      </c>
      <c r="F18" s="24"/>
      <c r="G18" s="24"/>
      <c r="H18" s="24" t="s">
        <v>766</v>
      </c>
      <c r="I18" s="24"/>
    </row>
    <row r="19" customFormat="false" ht="35.05" hidden="false" customHeight="false" outlineLevel="0" collapsed="false">
      <c r="A19" s="13" t="s">
        <v>900</v>
      </c>
      <c r="B19" s="13" t="s">
        <v>794</v>
      </c>
      <c r="C19" s="15" t="s">
        <v>901</v>
      </c>
      <c r="D19" s="15" t="s">
        <v>902</v>
      </c>
      <c r="E19" s="13" t="s">
        <v>540</v>
      </c>
      <c r="F19" s="24"/>
      <c r="G19" s="24"/>
      <c r="H19" s="24" t="s">
        <v>766</v>
      </c>
      <c r="I19" s="24"/>
    </row>
    <row r="20" customFormat="false" ht="35.05" hidden="false" customHeight="false" outlineLevel="0" collapsed="false">
      <c r="A20" s="17" t="s">
        <v>903</v>
      </c>
      <c r="B20" s="17" t="s">
        <v>878</v>
      </c>
      <c r="C20" s="19" t="s">
        <v>904</v>
      </c>
      <c r="D20" s="19" t="s">
        <v>905</v>
      </c>
      <c r="E20" s="17" t="s">
        <v>540</v>
      </c>
      <c r="F20" s="24"/>
      <c r="G20" s="24"/>
      <c r="H20" s="24" t="s">
        <v>766</v>
      </c>
      <c r="I20" s="24"/>
    </row>
    <row r="21" customFormat="false" ht="23.85" hidden="false" customHeight="false" outlineLevel="0" collapsed="false">
      <c r="A21" s="13" t="s">
        <v>906</v>
      </c>
      <c r="B21" s="13" t="s">
        <v>174</v>
      </c>
      <c r="C21" s="15" t="s">
        <v>907</v>
      </c>
      <c r="D21" s="15" t="s">
        <v>908</v>
      </c>
      <c r="E21" s="13" t="s">
        <v>551</v>
      </c>
      <c r="F21" s="24"/>
      <c r="G21" s="24"/>
      <c r="H21" s="24" t="s">
        <v>766</v>
      </c>
      <c r="I21" s="24"/>
    </row>
    <row r="22" customFormat="false" ht="57.45" hidden="false" customHeight="false" outlineLevel="0" collapsed="false">
      <c r="A22" s="17" t="s">
        <v>909</v>
      </c>
      <c r="B22" s="17" t="s">
        <v>910</v>
      </c>
      <c r="C22" s="19" t="s">
        <v>911</v>
      </c>
      <c r="D22" s="19" t="s">
        <v>912</v>
      </c>
      <c r="E22" s="17" t="s">
        <v>540</v>
      </c>
      <c r="F22" s="24"/>
      <c r="G22" s="24"/>
      <c r="H22" s="24" t="s">
        <v>766</v>
      </c>
      <c r="I22" s="24"/>
    </row>
    <row r="23" customFormat="false" ht="46.25" hidden="false" customHeight="false" outlineLevel="0" collapsed="false">
      <c r="A23" s="13" t="s">
        <v>913</v>
      </c>
      <c r="B23" s="13" t="s">
        <v>910</v>
      </c>
      <c r="C23" s="15" t="s">
        <v>914</v>
      </c>
      <c r="D23" s="15" t="s">
        <v>915</v>
      </c>
      <c r="E23" s="13" t="s">
        <v>540</v>
      </c>
      <c r="F23" s="24"/>
      <c r="G23" s="24"/>
      <c r="H23" s="24" t="s">
        <v>766</v>
      </c>
      <c r="I23" s="24"/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9A9A"/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1" min="10" style="0" width="12"/>
  </cols>
  <sheetData>
    <row r="1" customFormat="false" ht="19.7" hidden="false" customHeight="false" outlineLevel="0" collapsed="false">
      <c r="A1" s="1" t="s">
        <v>916</v>
      </c>
    </row>
    <row r="2" customFormat="false" ht="30" hidden="false" customHeight="true" outlineLevel="0" collapsed="false">
      <c r="A2" s="10" t="s">
        <v>917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customFormat="false" ht="27.75" hidden="false" customHeight="true" outlineLevel="0" collapsed="false">
      <c r="A4" s="11" t="s">
        <v>530</v>
      </c>
      <c r="B4" s="11" t="s">
        <v>918</v>
      </c>
      <c r="C4" s="11" t="s">
        <v>919</v>
      </c>
      <c r="D4" s="11" t="s">
        <v>678</v>
      </c>
      <c r="E4" s="11" t="s">
        <v>920</v>
      </c>
      <c r="F4" s="11" t="s">
        <v>921</v>
      </c>
      <c r="G4" s="11" t="s">
        <v>922</v>
      </c>
      <c r="H4" s="11" t="s">
        <v>923</v>
      </c>
      <c r="I4" s="11" t="s">
        <v>89</v>
      </c>
      <c r="J4" s="11" t="s">
        <v>852</v>
      </c>
      <c r="K4" s="11" t="s">
        <v>853</v>
      </c>
    </row>
    <row r="5" customFormat="false" ht="15" hidden="false" customHeight="false" outlineLevel="0" collapsed="false">
      <c r="A5" s="13" t="s">
        <v>924</v>
      </c>
      <c r="B5" s="13" t="s">
        <v>885</v>
      </c>
      <c r="C5" s="15" t="s">
        <v>925</v>
      </c>
      <c r="D5" s="13" t="s">
        <v>926</v>
      </c>
      <c r="E5" s="13" t="s">
        <v>927</v>
      </c>
      <c r="F5" s="13" t="s">
        <v>928</v>
      </c>
      <c r="G5" s="15" t="s">
        <v>929</v>
      </c>
      <c r="H5" s="15" t="s">
        <v>930</v>
      </c>
      <c r="I5" s="25" t="s">
        <v>931</v>
      </c>
      <c r="J5" s="24"/>
      <c r="K5" s="24"/>
    </row>
    <row r="6" customFormat="false" ht="23.85" hidden="false" customHeight="false" outlineLevel="0" collapsed="false">
      <c r="A6" s="17" t="s">
        <v>932</v>
      </c>
      <c r="B6" s="17" t="s">
        <v>885</v>
      </c>
      <c r="C6" s="19" t="s">
        <v>933</v>
      </c>
      <c r="D6" s="17" t="s">
        <v>926</v>
      </c>
      <c r="E6" s="17" t="s">
        <v>934</v>
      </c>
      <c r="F6" s="17" t="s">
        <v>928</v>
      </c>
      <c r="G6" s="19" t="s">
        <v>935</v>
      </c>
      <c r="H6" s="19" t="s">
        <v>936</v>
      </c>
      <c r="I6" s="25" t="s">
        <v>931</v>
      </c>
      <c r="J6" s="24"/>
      <c r="K6" s="24"/>
    </row>
    <row r="7" customFormat="false" ht="15" hidden="false" customHeight="false" outlineLevel="0" collapsed="false">
      <c r="A7" s="13" t="s">
        <v>937</v>
      </c>
      <c r="B7" s="13" t="s">
        <v>885</v>
      </c>
      <c r="C7" s="15" t="s">
        <v>938</v>
      </c>
      <c r="D7" s="13" t="s">
        <v>939</v>
      </c>
      <c r="E7" s="13" t="s">
        <v>580</v>
      </c>
      <c r="F7" s="13" t="s">
        <v>928</v>
      </c>
      <c r="G7" s="15" t="s">
        <v>940</v>
      </c>
      <c r="H7" s="15" t="s">
        <v>580</v>
      </c>
      <c r="I7" s="25" t="s">
        <v>931</v>
      </c>
      <c r="J7" s="24"/>
      <c r="K7" s="24"/>
    </row>
    <row r="8" customFormat="false" ht="23.85" hidden="false" customHeight="false" outlineLevel="0" collapsed="false">
      <c r="A8" s="17" t="s">
        <v>941</v>
      </c>
      <c r="B8" s="17" t="s">
        <v>241</v>
      </c>
      <c r="C8" s="19" t="s">
        <v>942</v>
      </c>
      <c r="D8" s="17" t="s">
        <v>943</v>
      </c>
      <c r="E8" s="17" t="s">
        <v>944</v>
      </c>
      <c r="F8" s="17" t="s">
        <v>928</v>
      </c>
      <c r="G8" s="19" t="s">
        <v>945</v>
      </c>
      <c r="H8" s="19" t="s">
        <v>946</v>
      </c>
      <c r="I8" s="25" t="s">
        <v>931</v>
      </c>
      <c r="J8" s="24"/>
      <c r="K8" s="24"/>
    </row>
    <row r="9" customFormat="false" ht="23.85" hidden="false" customHeight="false" outlineLevel="0" collapsed="false">
      <c r="A9" s="13" t="s">
        <v>947</v>
      </c>
      <c r="B9" s="13" t="s">
        <v>241</v>
      </c>
      <c r="C9" s="15" t="s">
        <v>948</v>
      </c>
      <c r="D9" s="13" t="s">
        <v>943</v>
      </c>
      <c r="E9" s="13" t="s">
        <v>949</v>
      </c>
      <c r="F9" s="13" t="s">
        <v>950</v>
      </c>
      <c r="G9" s="15" t="s">
        <v>951</v>
      </c>
      <c r="H9" s="15" t="s">
        <v>952</v>
      </c>
      <c r="I9" s="25" t="s">
        <v>931</v>
      </c>
      <c r="J9" s="24"/>
      <c r="K9" s="24"/>
    </row>
    <row r="10" customFormat="false" ht="15" hidden="false" customHeight="false" outlineLevel="0" collapsed="false">
      <c r="A10" s="17" t="s">
        <v>953</v>
      </c>
      <c r="B10" s="17" t="s">
        <v>241</v>
      </c>
      <c r="C10" s="19" t="s">
        <v>954</v>
      </c>
      <c r="D10" s="17" t="s">
        <v>955</v>
      </c>
      <c r="E10" s="17" t="s">
        <v>956</v>
      </c>
      <c r="F10" s="17" t="s">
        <v>928</v>
      </c>
      <c r="G10" s="19" t="s">
        <v>252</v>
      </c>
      <c r="H10" s="19" t="s">
        <v>957</v>
      </c>
      <c r="I10" s="25" t="s">
        <v>931</v>
      </c>
      <c r="J10" s="24"/>
      <c r="K10" s="24"/>
    </row>
    <row r="11" customFormat="false" ht="23.85" hidden="false" customHeight="false" outlineLevel="0" collapsed="false">
      <c r="A11" s="13" t="s">
        <v>958</v>
      </c>
      <c r="B11" s="13" t="s">
        <v>241</v>
      </c>
      <c r="C11" s="15" t="s">
        <v>959</v>
      </c>
      <c r="D11" s="13" t="s">
        <v>955</v>
      </c>
      <c r="E11" s="13" t="s">
        <v>960</v>
      </c>
      <c r="F11" s="13" t="s">
        <v>961</v>
      </c>
      <c r="G11" s="15" t="s">
        <v>962</v>
      </c>
      <c r="H11" s="15" t="s">
        <v>963</v>
      </c>
      <c r="I11" s="25" t="s">
        <v>931</v>
      </c>
      <c r="J11" s="24"/>
      <c r="K11" s="24"/>
    </row>
    <row r="12" customFormat="false" ht="15" hidden="false" customHeight="false" outlineLevel="0" collapsed="false">
      <c r="A12" s="17" t="s">
        <v>964</v>
      </c>
      <c r="B12" s="17" t="s">
        <v>241</v>
      </c>
      <c r="C12" s="19" t="s">
        <v>965</v>
      </c>
      <c r="D12" s="17" t="s">
        <v>966</v>
      </c>
      <c r="E12" s="17" t="s">
        <v>949</v>
      </c>
      <c r="F12" s="17" t="s">
        <v>967</v>
      </c>
      <c r="G12" s="19" t="s">
        <v>968</v>
      </c>
      <c r="H12" s="19" t="s">
        <v>969</v>
      </c>
      <c r="I12" s="25" t="s">
        <v>931</v>
      </c>
      <c r="J12" s="24"/>
      <c r="K12" s="24"/>
    </row>
    <row r="13" customFormat="false" ht="15" hidden="false" customHeight="false" outlineLevel="0" collapsed="false">
      <c r="A13" s="13" t="s">
        <v>970</v>
      </c>
      <c r="B13" s="13" t="s">
        <v>241</v>
      </c>
      <c r="C13" s="15" t="s">
        <v>971</v>
      </c>
      <c r="D13" s="13" t="s">
        <v>966</v>
      </c>
      <c r="E13" s="13" t="s">
        <v>949</v>
      </c>
      <c r="F13" s="13" t="s">
        <v>967</v>
      </c>
      <c r="G13" s="15" t="s">
        <v>972</v>
      </c>
      <c r="H13" s="15" t="s">
        <v>973</v>
      </c>
      <c r="I13" s="25" t="s">
        <v>931</v>
      </c>
      <c r="J13" s="24"/>
      <c r="K13" s="24"/>
    </row>
    <row r="14" customFormat="false" ht="15" hidden="false" customHeight="false" outlineLevel="0" collapsed="false">
      <c r="A14" s="17" t="s">
        <v>974</v>
      </c>
      <c r="B14" s="17" t="s">
        <v>241</v>
      </c>
      <c r="C14" s="19" t="s">
        <v>975</v>
      </c>
      <c r="D14" s="17" t="s">
        <v>966</v>
      </c>
      <c r="E14" s="17" t="s">
        <v>949</v>
      </c>
      <c r="F14" s="17" t="s">
        <v>967</v>
      </c>
      <c r="G14" s="19" t="s">
        <v>976</v>
      </c>
      <c r="H14" s="19" t="s">
        <v>977</v>
      </c>
      <c r="I14" s="25" t="s">
        <v>931</v>
      </c>
      <c r="J14" s="24"/>
      <c r="K14" s="24"/>
    </row>
    <row r="15" customFormat="false" ht="15" hidden="false" customHeight="false" outlineLevel="0" collapsed="false">
      <c r="A15" s="13" t="s">
        <v>978</v>
      </c>
      <c r="B15" s="13" t="s">
        <v>241</v>
      </c>
      <c r="C15" s="15" t="s">
        <v>979</v>
      </c>
      <c r="D15" s="13" t="s">
        <v>966</v>
      </c>
      <c r="E15" s="13" t="s">
        <v>980</v>
      </c>
      <c r="F15" s="13" t="s">
        <v>981</v>
      </c>
      <c r="G15" s="15" t="s">
        <v>982</v>
      </c>
      <c r="H15" s="15" t="s">
        <v>580</v>
      </c>
      <c r="I15" s="25" t="s">
        <v>931</v>
      </c>
      <c r="J15" s="24"/>
      <c r="K15" s="24"/>
    </row>
    <row r="16" customFormat="false" ht="23.85" hidden="false" customHeight="false" outlineLevel="0" collapsed="false">
      <c r="A16" s="17" t="s">
        <v>983</v>
      </c>
      <c r="B16" s="17" t="s">
        <v>984</v>
      </c>
      <c r="C16" s="19" t="s">
        <v>985</v>
      </c>
      <c r="D16" s="17" t="s">
        <v>986</v>
      </c>
      <c r="E16" s="17" t="s">
        <v>987</v>
      </c>
      <c r="F16" s="17" t="s">
        <v>928</v>
      </c>
      <c r="G16" s="19" t="s">
        <v>988</v>
      </c>
      <c r="H16" s="19" t="s">
        <v>989</v>
      </c>
      <c r="I16" s="25" t="s">
        <v>931</v>
      </c>
      <c r="J16" s="24"/>
      <c r="K16" s="24"/>
    </row>
    <row r="17" customFormat="false" ht="15" hidden="false" customHeight="false" outlineLevel="0" collapsed="false">
      <c r="A17" s="13" t="s">
        <v>990</v>
      </c>
      <c r="B17" s="13" t="s">
        <v>984</v>
      </c>
      <c r="C17" s="15" t="s">
        <v>991</v>
      </c>
      <c r="D17" s="13" t="s">
        <v>986</v>
      </c>
      <c r="E17" s="13" t="s">
        <v>987</v>
      </c>
      <c r="F17" s="13" t="s">
        <v>981</v>
      </c>
      <c r="G17" s="15" t="s">
        <v>992</v>
      </c>
      <c r="H17" s="15" t="s">
        <v>993</v>
      </c>
      <c r="I17" s="25" t="s">
        <v>931</v>
      </c>
      <c r="J17" s="24"/>
      <c r="K17" s="24"/>
    </row>
    <row r="18" customFormat="false" ht="15" hidden="false" customHeight="false" outlineLevel="0" collapsed="false">
      <c r="A18" s="17" t="s">
        <v>994</v>
      </c>
      <c r="B18" s="17" t="s">
        <v>995</v>
      </c>
      <c r="C18" s="19" t="s">
        <v>996</v>
      </c>
      <c r="D18" s="17" t="s">
        <v>997</v>
      </c>
      <c r="E18" s="17" t="s">
        <v>998</v>
      </c>
      <c r="F18" s="17" t="s">
        <v>999</v>
      </c>
      <c r="G18" s="19" t="s">
        <v>168</v>
      </c>
      <c r="H18" s="19" t="s">
        <v>1000</v>
      </c>
      <c r="I18" s="25" t="s">
        <v>931</v>
      </c>
      <c r="J18" s="24"/>
      <c r="K18" s="24"/>
    </row>
    <row r="19" customFormat="false" ht="15" hidden="false" customHeight="false" outlineLevel="0" collapsed="false">
      <c r="A19" s="13" t="s">
        <v>1001</v>
      </c>
      <c r="B19" s="13" t="s">
        <v>995</v>
      </c>
      <c r="C19" s="15" t="s">
        <v>1002</v>
      </c>
      <c r="D19" s="13" t="s">
        <v>966</v>
      </c>
      <c r="E19" s="13" t="s">
        <v>1003</v>
      </c>
      <c r="F19" s="13" t="s">
        <v>1004</v>
      </c>
      <c r="G19" s="15" t="s">
        <v>168</v>
      </c>
      <c r="H19" s="15" t="s">
        <v>580</v>
      </c>
      <c r="I19" s="25" t="s">
        <v>931</v>
      </c>
      <c r="J19" s="24"/>
      <c r="K19" s="24"/>
    </row>
    <row r="20" customFormat="false" ht="15" hidden="false" customHeight="false" outlineLevel="0" collapsed="false">
      <c r="A20" s="17" t="s">
        <v>1005</v>
      </c>
      <c r="B20" s="17" t="s">
        <v>1006</v>
      </c>
      <c r="C20" s="19" t="s">
        <v>1007</v>
      </c>
      <c r="D20" s="17" t="s">
        <v>966</v>
      </c>
      <c r="E20" s="17" t="s">
        <v>1008</v>
      </c>
      <c r="F20" s="17" t="s">
        <v>1009</v>
      </c>
      <c r="G20" s="19" t="s">
        <v>208</v>
      </c>
      <c r="H20" s="19" t="s">
        <v>580</v>
      </c>
      <c r="I20" s="25" t="s">
        <v>931</v>
      </c>
      <c r="J20" s="24"/>
      <c r="K20" s="24"/>
    </row>
    <row r="21" customFormat="false" ht="23.85" hidden="false" customHeight="false" outlineLevel="0" collapsed="false">
      <c r="A21" s="13" t="s">
        <v>1010</v>
      </c>
      <c r="B21" s="13" t="s">
        <v>144</v>
      </c>
      <c r="C21" s="15" t="s">
        <v>1011</v>
      </c>
      <c r="D21" s="13" t="s">
        <v>926</v>
      </c>
      <c r="E21" s="13" t="s">
        <v>927</v>
      </c>
      <c r="F21" s="13" t="s">
        <v>1012</v>
      </c>
      <c r="G21" s="15" t="s">
        <v>142</v>
      </c>
      <c r="H21" s="15" t="s">
        <v>1013</v>
      </c>
      <c r="I21" s="25" t="s">
        <v>931</v>
      </c>
      <c r="J21" s="24"/>
      <c r="K21" s="24"/>
    </row>
    <row r="22" customFormat="false" ht="15" hidden="false" customHeight="false" outlineLevel="0" collapsed="false">
      <c r="A22" s="17" t="s">
        <v>1014</v>
      </c>
      <c r="B22" s="17" t="s">
        <v>1015</v>
      </c>
      <c r="C22" s="19" t="s">
        <v>1016</v>
      </c>
      <c r="D22" s="17" t="s">
        <v>926</v>
      </c>
      <c r="E22" s="17" t="s">
        <v>960</v>
      </c>
      <c r="F22" s="17" t="s">
        <v>928</v>
      </c>
      <c r="G22" s="19" t="s">
        <v>1017</v>
      </c>
      <c r="H22" s="19" t="s">
        <v>1018</v>
      </c>
      <c r="I22" s="25" t="s">
        <v>931</v>
      </c>
      <c r="J22" s="24"/>
      <c r="K22" s="24"/>
    </row>
    <row r="23" customFormat="false" ht="23.85" hidden="false" customHeight="false" outlineLevel="0" collapsed="false">
      <c r="A23" s="13" t="s">
        <v>1019</v>
      </c>
      <c r="B23" s="13" t="s">
        <v>1015</v>
      </c>
      <c r="C23" s="15" t="s">
        <v>1020</v>
      </c>
      <c r="D23" s="13" t="s">
        <v>926</v>
      </c>
      <c r="E23" s="13" t="s">
        <v>960</v>
      </c>
      <c r="F23" s="13" t="s">
        <v>928</v>
      </c>
      <c r="G23" s="15" t="s">
        <v>327</v>
      </c>
      <c r="H23" s="15" t="s">
        <v>1021</v>
      </c>
      <c r="I23" s="25" t="s">
        <v>931</v>
      </c>
      <c r="J23" s="24"/>
      <c r="K23" s="24"/>
    </row>
    <row r="24" customFormat="false" ht="23.85" hidden="false" customHeight="false" outlineLevel="0" collapsed="false">
      <c r="A24" s="17" t="s">
        <v>1022</v>
      </c>
      <c r="B24" s="17" t="s">
        <v>369</v>
      </c>
      <c r="C24" s="19" t="s">
        <v>1023</v>
      </c>
      <c r="D24" s="17" t="s">
        <v>939</v>
      </c>
      <c r="E24" s="17" t="s">
        <v>1024</v>
      </c>
      <c r="F24" s="17" t="s">
        <v>928</v>
      </c>
      <c r="G24" s="19" t="s">
        <v>150</v>
      </c>
      <c r="H24" s="19" t="s">
        <v>1025</v>
      </c>
      <c r="I24" s="25" t="s">
        <v>931</v>
      </c>
      <c r="J24" s="24"/>
      <c r="K24" s="24"/>
    </row>
    <row r="25" customFormat="false" ht="15" hidden="false" customHeight="false" outlineLevel="0" collapsed="false">
      <c r="A25" s="13" t="s">
        <v>1026</v>
      </c>
      <c r="B25" s="13" t="s">
        <v>369</v>
      </c>
      <c r="C25" s="15" t="s">
        <v>1027</v>
      </c>
      <c r="D25" s="13" t="s">
        <v>1028</v>
      </c>
      <c r="E25" s="13" t="s">
        <v>1024</v>
      </c>
      <c r="F25" s="13" t="s">
        <v>1029</v>
      </c>
      <c r="G25" s="15" t="s">
        <v>1030</v>
      </c>
      <c r="H25" s="15" t="s">
        <v>580</v>
      </c>
      <c r="I25" s="25" t="s">
        <v>931</v>
      </c>
      <c r="J25" s="24"/>
      <c r="K25" s="24"/>
    </row>
    <row r="26" customFormat="false" ht="15" hidden="false" customHeight="false" outlineLevel="0" collapsed="false">
      <c r="A26" s="17" t="s">
        <v>1031</v>
      </c>
      <c r="B26" s="17" t="s">
        <v>1032</v>
      </c>
      <c r="C26" s="19" t="s">
        <v>1033</v>
      </c>
      <c r="D26" s="17" t="s">
        <v>1034</v>
      </c>
      <c r="E26" s="17" t="s">
        <v>580</v>
      </c>
      <c r="F26" s="17" t="s">
        <v>928</v>
      </c>
      <c r="G26" s="19" t="s">
        <v>146</v>
      </c>
      <c r="H26" s="19" t="s">
        <v>1035</v>
      </c>
      <c r="I26" s="25" t="s">
        <v>931</v>
      </c>
      <c r="J26" s="24"/>
      <c r="K26" s="24"/>
    </row>
    <row r="27" customFormat="false" ht="15" hidden="false" customHeight="false" outlineLevel="0" collapsed="false">
      <c r="A27" s="13" t="s">
        <v>1036</v>
      </c>
      <c r="B27" s="13" t="s">
        <v>1037</v>
      </c>
      <c r="C27" s="15" t="s">
        <v>1038</v>
      </c>
      <c r="D27" s="13" t="s">
        <v>1039</v>
      </c>
      <c r="E27" s="13" t="s">
        <v>1040</v>
      </c>
      <c r="F27" s="13" t="s">
        <v>981</v>
      </c>
      <c r="G27" s="15" t="s">
        <v>1041</v>
      </c>
      <c r="H27" s="15" t="s">
        <v>580</v>
      </c>
      <c r="I27" s="25" t="s">
        <v>931</v>
      </c>
      <c r="J27" s="24"/>
      <c r="K27" s="24"/>
    </row>
    <row r="28" customFormat="false" ht="23.85" hidden="false" customHeight="false" outlineLevel="0" collapsed="false">
      <c r="A28" s="17" t="s">
        <v>1042</v>
      </c>
      <c r="B28" s="17" t="s">
        <v>174</v>
      </c>
      <c r="C28" s="19" t="s">
        <v>1043</v>
      </c>
      <c r="D28" s="17" t="s">
        <v>1044</v>
      </c>
      <c r="E28" s="17" t="s">
        <v>580</v>
      </c>
      <c r="F28" s="17" t="s">
        <v>928</v>
      </c>
      <c r="G28" s="19" t="s">
        <v>1045</v>
      </c>
      <c r="H28" s="19" t="s">
        <v>1046</v>
      </c>
      <c r="I28" s="25" t="s">
        <v>931</v>
      </c>
      <c r="J28" s="24"/>
      <c r="K28" s="24"/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C3024"/>
    <pageSetUpPr fitToPage="false"/>
  </sheetPr>
  <dimension ref="A1:G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7" min="7" style="0" width="56"/>
  </cols>
  <sheetData>
    <row r="1" customFormat="false" ht="19.7" hidden="false" customHeight="false" outlineLevel="0" collapsed="false">
      <c r="A1" s="1" t="s">
        <v>1047</v>
      </c>
    </row>
    <row r="2" customFormat="false" ht="30" hidden="false" customHeight="true" outlineLevel="0" collapsed="false">
      <c r="A2" s="10" t="s">
        <v>1048</v>
      </c>
      <c r="B2" s="10"/>
      <c r="C2" s="10"/>
      <c r="D2" s="10"/>
      <c r="E2" s="10"/>
      <c r="F2" s="10"/>
      <c r="G2" s="10"/>
    </row>
    <row r="4" customFormat="false" ht="27.75" hidden="false" customHeight="true" outlineLevel="0" collapsed="false">
      <c r="A4" s="11" t="s">
        <v>910</v>
      </c>
      <c r="B4" s="11" t="s">
        <v>1049</v>
      </c>
      <c r="C4" s="11" t="s">
        <v>1050</v>
      </c>
      <c r="D4" s="11" t="s">
        <v>1051</v>
      </c>
      <c r="E4" s="11" t="s">
        <v>1052</v>
      </c>
      <c r="F4" s="11" t="s">
        <v>1053</v>
      </c>
      <c r="G4" s="11" t="s">
        <v>1054</v>
      </c>
    </row>
    <row r="5" customFormat="false" ht="15" hidden="false" customHeight="true" outlineLevel="0" collapsed="false">
      <c r="A5" s="26" t="s">
        <v>221</v>
      </c>
      <c r="B5" s="27" t="s">
        <v>1055</v>
      </c>
      <c r="C5" s="27"/>
      <c r="D5" s="27"/>
      <c r="E5" s="27"/>
      <c r="F5" s="27"/>
      <c r="G5" s="27"/>
    </row>
    <row r="6" customFormat="false" ht="23.85" hidden="false" customHeight="false" outlineLevel="0" collapsed="false">
      <c r="A6" s="13"/>
      <c r="B6" s="13" t="s">
        <v>1056</v>
      </c>
      <c r="C6" s="13" t="s">
        <v>1057</v>
      </c>
      <c r="D6" s="14" t="s">
        <v>1058</v>
      </c>
      <c r="E6" s="15" t="s">
        <v>241</v>
      </c>
      <c r="F6" s="15"/>
      <c r="G6" s="15" t="s">
        <v>1059</v>
      </c>
    </row>
    <row r="7" customFormat="false" ht="15" hidden="false" customHeight="false" outlineLevel="0" collapsed="false">
      <c r="A7" s="13"/>
      <c r="B7" s="13" t="s">
        <v>1056</v>
      </c>
      <c r="C7" s="13" t="s">
        <v>1060</v>
      </c>
      <c r="D7" s="14" t="s">
        <v>1061</v>
      </c>
      <c r="E7" s="15" t="s">
        <v>1062</v>
      </c>
      <c r="F7" s="15"/>
      <c r="G7" s="15"/>
    </row>
    <row r="8" customFormat="false" ht="23.85" hidden="false" customHeight="false" outlineLevel="0" collapsed="false">
      <c r="A8" s="13"/>
      <c r="B8" s="13" t="s">
        <v>1056</v>
      </c>
      <c r="C8" s="13" t="s">
        <v>1063</v>
      </c>
      <c r="D8" s="14" t="s">
        <v>1058</v>
      </c>
      <c r="E8" s="15" t="s">
        <v>241</v>
      </c>
      <c r="F8" s="15"/>
      <c r="G8" s="15" t="s">
        <v>1064</v>
      </c>
    </row>
    <row r="9" customFormat="false" ht="23.85" hidden="false" customHeight="false" outlineLevel="0" collapsed="false">
      <c r="A9" s="13"/>
      <c r="B9" s="13" t="s">
        <v>1056</v>
      </c>
      <c r="C9" s="13" t="s">
        <v>1065</v>
      </c>
      <c r="D9" s="14" t="s">
        <v>1058</v>
      </c>
      <c r="E9" s="15" t="s">
        <v>1065</v>
      </c>
      <c r="F9" s="15"/>
      <c r="G9" s="15" t="s">
        <v>1066</v>
      </c>
    </row>
    <row r="10" customFormat="false" ht="23.85" hidden="false" customHeight="false" outlineLevel="0" collapsed="false">
      <c r="A10" s="13"/>
      <c r="B10" s="13" t="s">
        <v>1056</v>
      </c>
      <c r="C10" s="13" t="s">
        <v>1067</v>
      </c>
      <c r="D10" s="14" t="s">
        <v>1061</v>
      </c>
      <c r="E10" s="15" t="s">
        <v>1068</v>
      </c>
      <c r="F10" s="15"/>
      <c r="G10" s="15" t="s">
        <v>1069</v>
      </c>
    </row>
    <row r="11" customFormat="false" ht="23.85" hidden="false" customHeight="false" outlineLevel="0" collapsed="false">
      <c r="A11" s="13"/>
      <c r="B11" s="13" t="s">
        <v>1056</v>
      </c>
      <c r="C11" s="13" t="s">
        <v>1070</v>
      </c>
      <c r="D11" s="21" t="s">
        <v>1071</v>
      </c>
      <c r="E11" s="15" t="s">
        <v>1072</v>
      </c>
      <c r="F11" s="15" t="s">
        <v>1073</v>
      </c>
      <c r="G11" s="15"/>
    </row>
    <row r="12" customFormat="false" ht="23.85" hidden="false" customHeight="false" outlineLevel="0" collapsed="false">
      <c r="A12" s="13"/>
      <c r="B12" s="13" t="s">
        <v>1074</v>
      </c>
      <c r="C12" s="13" t="s">
        <v>1075</v>
      </c>
      <c r="D12" s="21" t="s">
        <v>1071</v>
      </c>
      <c r="E12" s="15" t="s">
        <v>1076</v>
      </c>
      <c r="F12" s="15" t="s">
        <v>1077</v>
      </c>
      <c r="G12" s="15"/>
    </row>
    <row r="13" customFormat="false" ht="15" hidden="false" customHeight="false" outlineLevel="0" collapsed="false">
      <c r="A13" s="13"/>
      <c r="B13" s="13" t="s">
        <v>1074</v>
      </c>
      <c r="C13" s="13" t="s">
        <v>1078</v>
      </c>
      <c r="D13" s="21" t="s">
        <v>1071</v>
      </c>
      <c r="E13" s="15" t="s">
        <v>1076</v>
      </c>
      <c r="F13" s="15" t="s">
        <v>1079</v>
      </c>
      <c r="G13" s="15"/>
    </row>
    <row r="14" customFormat="false" ht="15" hidden="false" customHeight="false" outlineLevel="0" collapsed="false">
      <c r="A14" s="13"/>
      <c r="B14" s="13" t="s">
        <v>1074</v>
      </c>
      <c r="C14" s="13" t="s">
        <v>1080</v>
      </c>
      <c r="D14" s="21" t="s">
        <v>1071</v>
      </c>
      <c r="E14" s="15" t="s">
        <v>1076</v>
      </c>
      <c r="F14" s="15" t="s">
        <v>1081</v>
      </c>
      <c r="G14" s="15"/>
    </row>
    <row r="15" customFormat="false" ht="35.05" hidden="false" customHeight="false" outlineLevel="0" collapsed="false">
      <c r="A15" s="13"/>
      <c r="B15" s="13" t="s">
        <v>1074</v>
      </c>
      <c r="C15" s="13" t="s">
        <v>1082</v>
      </c>
      <c r="D15" s="21" t="s">
        <v>1071</v>
      </c>
      <c r="E15" s="15" t="s">
        <v>1076</v>
      </c>
      <c r="F15" s="15" t="s">
        <v>1083</v>
      </c>
      <c r="G15" s="15"/>
    </row>
    <row r="16" customFormat="false" ht="35.05" hidden="false" customHeight="false" outlineLevel="0" collapsed="false">
      <c r="A16" s="13"/>
      <c r="B16" s="13" t="s">
        <v>1084</v>
      </c>
      <c r="C16" s="13" t="s">
        <v>1085</v>
      </c>
      <c r="D16" s="21" t="s">
        <v>1071</v>
      </c>
      <c r="E16" s="15" t="s">
        <v>1086</v>
      </c>
      <c r="F16" s="15" t="s">
        <v>1087</v>
      </c>
      <c r="G16" s="15"/>
    </row>
    <row r="17" customFormat="false" ht="23.85" hidden="false" customHeight="false" outlineLevel="0" collapsed="false">
      <c r="A17" s="13"/>
      <c r="B17" s="13" t="s">
        <v>1084</v>
      </c>
      <c r="C17" s="13" t="s">
        <v>1088</v>
      </c>
      <c r="D17" s="14" t="s">
        <v>1058</v>
      </c>
      <c r="E17" s="15" t="s">
        <v>1088</v>
      </c>
      <c r="F17" s="15"/>
      <c r="G17" s="15" t="s">
        <v>1089</v>
      </c>
    </row>
    <row r="18" customFormat="false" ht="15" hidden="false" customHeight="false" outlineLevel="0" collapsed="false">
      <c r="A18" s="13"/>
      <c r="B18" s="13" t="s">
        <v>1090</v>
      </c>
      <c r="C18" s="13" t="s">
        <v>1091</v>
      </c>
      <c r="D18" s="21" t="s">
        <v>1071</v>
      </c>
      <c r="E18" s="15" t="s">
        <v>1072</v>
      </c>
      <c r="F18" s="15" t="s">
        <v>1092</v>
      </c>
      <c r="G18" s="15"/>
    </row>
    <row r="19" customFormat="false" ht="23.85" hidden="false" customHeight="false" outlineLevel="0" collapsed="false">
      <c r="A19" s="13"/>
      <c r="B19" s="13" t="s">
        <v>1090</v>
      </c>
      <c r="C19" s="13" t="s">
        <v>1093</v>
      </c>
      <c r="D19" s="21" t="s">
        <v>1071</v>
      </c>
      <c r="E19" s="15" t="s">
        <v>1072</v>
      </c>
      <c r="F19" s="15" t="s">
        <v>1094</v>
      </c>
      <c r="G19" s="15"/>
    </row>
    <row r="20" customFormat="false" ht="15" hidden="false" customHeight="false" outlineLevel="0" collapsed="false">
      <c r="A20" s="13"/>
      <c r="B20" s="13" t="s">
        <v>1090</v>
      </c>
      <c r="C20" s="13" t="s">
        <v>1095</v>
      </c>
      <c r="D20" s="21" t="s">
        <v>1071</v>
      </c>
      <c r="E20" s="15" t="s">
        <v>1072</v>
      </c>
      <c r="F20" s="15" t="s">
        <v>1096</v>
      </c>
      <c r="G20" s="15"/>
    </row>
    <row r="21" customFormat="false" ht="23.85" hidden="false" customHeight="false" outlineLevel="0" collapsed="false">
      <c r="A21" s="13"/>
      <c r="B21" s="13" t="s">
        <v>1090</v>
      </c>
      <c r="C21" s="13" t="s">
        <v>1097</v>
      </c>
      <c r="D21" s="21" t="s">
        <v>1071</v>
      </c>
      <c r="E21" s="15" t="s">
        <v>1072</v>
      </c>
      <c r="F21" s="15" t="s">
        <v>1098</v>
      </c>
      <c r="G21" s="15"/>
    </row>
    <row r="22" customFormat="false" ht="23.85" hidden="false" customHeight="false" outlineLevel="0" collapsed="false">
      <c r="A22" s="13"/>
      <c r="B22" s="13" t="s">
        <v>1090</v>
      </c>
      <c r="C22" s="13" t="s">
        <v>1099</v>
      </c>
      <c r="D22" s="21" t="s">
        <v>1071</v>
      </c>
      <c r="E22" s="15" t="s">
        <v>1076</v>
      </c>
      <c r="F22" s="15" t="s">
        <v>1100</v>
      </c>
      <c r="G22" s="15"/>
    </row>
    <row r="23" customFormat="false" ht="15" hidden="false" customHeight="true" outlineLevel="0" collapsed="false">
      <c r="A23" s="26" t="s">
        <v>233</v>
      </c>
      <c r="B23" s="27" t="s">
        <v>1101</v>
      </c>
      <c r="C23" s="27"/>
      <c r="D23" s="27"/>
      <c r="E23" s="27"/>
      <c r="F23" s="27"/>
      <c r="G23" s="27"/>
    </row>
    <row r="24" customFormat="false" ht="23.85" hidden="false" customHeight="false" outlineLevel="0" collapsed="false">
      <c r="A24" s="13"/>
      <c r="B24" s="13" t="s">
        <v>1102</v>
      </c>
      <c r="C24" s="13" t="s">
        <v>1103</v>
      </c>
      <c r="D24" s="21" t="s">
        <v>1071</v>
      </c>
      <c r="E24" s="15" t="s">
        <v>1104</v>
      </c>
      <c r="F24" s="15" t="s">
        <v>1105</v>
      </c>
      <c r="G24" s="15"/>
    </row>
    <row r="25" customFormat="false" ht="35.05" hidden="false" customHeight="false" outlineLevel="0" collapsed="false">
      <c r="A25" s="13"/>
      <c r="B25" s="13" t="s">
        <v>1102</v>
      </c>
      <c r="C25" s="13" t="s">
        <v>1106</v>
      </c>
      <c r="D25" s="21" t="s">
        <v>1071</v>
      </c>
      <c r="E25" s="15" t="s">
        <v>1104</v>
      </c>
      <c r="F25" s="15" t="s">
        <v>1107</v>
      </c>
      <c r="G25" s="15"/>
    </row>
    <row r="26" customFormat="false" ht="46.25" hidden="false" customHeight="false" outlineLevel="0" collapsed="false">
      <c r="A26" s="13"/>
      <c r="B26" s="13" t="s">
        <v>1102</v>
      </c>
      <c r="C26" s="13" t="s">
        <v>1108</v>
      </c>
      <c r="D26" s="13" t="s">
        <v>1109</v>
      </c>
      <c r="E26" s="15" t="s">
        <v>1110</v>
      </c>
      <c r="F26" s="15"/>
      <c r="G26" s="15" t="s">
        <v>1111</v>
      </c>
    </row>
    <row r="27" customFormat="false" ht="23.85" hidden="false" customHeight="false" outlineLevel="0" collapsed="false">
      <c r="A27" s="13"/>
      <c r="B27" s="13" t="s">
        <v>1112</v>
      </c>
      <c r="C27" s="13" t="s">
        <v>1113</v>
      </c>
      <c r="D27" s="14" t="s">
        <v>1061</v>
      </c>
      <c r="E27" s="15" t="s">
        <v>1114</v>
      </c>
      <c r="F27" s="15"/>
      <c r="G27" s="15" t="s">
        <v>1115</v>
      </c>
    </row>
    <row r="28" customFormat="false" ht="23.85" hidden="false" customHeight="false" outlineLevel="0" collapsed="false">
      <c r="A28" s="13"/>
      <c r="B28" s="13" t="s">
        <v>1112</v>
      </c>
      <c r="C28" s="13" t="s">
        <v>1116</v>
      </c>
      <c r="D28" s="13" t="s">
        <v>1109</v>
      </c>
      <c r="E28" s="15" t="s">
        <v>1117</v>
      </c>
      <c r="F28" s="15"/>
      <c r="G28" s="15" t="s">
        <v>1118</v>
      </c>
    </row>
    <row r="29" customFormat="false" ht="23.85" hidden="false" customHeight="false" outlineLevel="0" collapsed="false">
      <c r="A29" s="13"/>
      <c r="B29" s="13" t="s">
        <v>1112</v>
      </c>
      <c r="C29" s="13" t="s">
        <v>1119</v>
      </c>
      <c r="D29" s="21" t="s">
        <v>1071</v>
      </c>
      <c r="E29" s="15" t="s">
        <v>1120</v>
      </c>
      <c r="F29" s="15" t="s">
        <v>1121</v>
      </c>
      <c r="G29" s="15"/>
    </row>
    <row r="30" customFormat="false" ht="23.85" hidden="false" customHeight="false" outlineLevel="0" collapsed="false">
      <c r="A30" s="13"/>
      <c r="B30" s="13" t="s">
        <v>1112</v>
      </c>
      <c r="C30" s="13" t="s">
        <v>1122</v>
      </c>
      <c r="D30" s="21" t="s">
        <v>1071</v>
      </c>
      <c r="E30" s="15" t="s">
        <v>1120</v>
      </c>
      <c r="F30" s="15" t="s">
        <v>1123</v>
      </c>
      <c r="G30" s="15"/>
    </row>
    <row r="31" customFormat="false" ht="46.25" hidden="false" customHeight="false" outlineLevel="0" collapsed="false">
      <c r="A31" s="13"/>
      <c r="B31" s="13" t="s">
        <v>1124</v>
      </c>
      <c r="C31" s="13" t="s">
        <v>1125</v>
      </c>
      <c r="D31" s="22" t="s">
        <v>1126</v>
      </c>
      <c r="E31" s="15"/>
      <c r="F31" s="15" t="s">
        <v>1127</v>
      </c>
      <c r="G31" s="15"/>
    </row>
    <row r="32" customFormat="false" ht="23.85" hidden="false" customHeight="false" outlineLevel="0" collapsed="false">
      <c r="A32" s="13"/>
      <c r="B32" s="13" t="s">
        <v>1128</v>
      </c>
      <c r="C32" s="13" t="s">
        <v>1129</v>
      </c>
      <c r="D32" s="22" t="s">
        <v>1126</v>
      </c>
      <c r="E32" s="15"/>
      <c r="F32" s="15" t="s">
        <v>1130</v>
      </c>
      <c r="G32" s="15"/>
    </row>
    <row r="33" customFormat="false" ht="35.05" hidden="false" customHeight="false" outlineLevel="0" collapsed="false">
      <c r="A33" s="13"/>
      <c r="B33" s="13" t="s">
        <v>1131</v>
      </c>
      <c r="C33" s="13" t="s">
        <v>1132</v>
      </c>
      <c r="D33" s="22" t="s">
        <v>1126</v>
      </c>
      <c r="E33" s="15"/>
      <c r="F33" s="15" t="s">
        <v>1133</v>
      </c>
      <c r="G33" s="15"/>
    </row>
    <row r="34" customFormat="false" ht="15" hidden="false" customHeight="true" outlineLevel="0" collapsed="false">
      <c r="A34" s="26" t="s">
        <v>247</v>
      </c>
      <c r="B34" s="27" t="s">
        <v>1134</v>
      </c>
      <c r="C34" s="27"/>
      <c r="D34" s="27"/>
      <c r="E34" s="27"/>
      <c r="F34" s="27"/>
      <c r="G34" s="27"/>
    </row>
    <row r="35" customFormat="false" ht="15" hidden="false" customHeight="false" outlineLevel="0" collapsed="false">
      <c r="A35" s="13"/>
      <c r="B35" s="13" t="s">
        <v>1135</v>
      </c>
      <c r="C35" s="13" t="s">
        <v>1136</v>
      </c>
      <c r="D35" s="14" t="s">
        <v>1058</v>
      </c>
      <c r="E35" s="15" t="s">
        <v>611</v>
      </c>
      <c r="F35" s="15"/>
      <c r="G35" s="15"/>
    </row>
    <row r="36" customFormat="false" ht="23.85" hidden="false" customHeight="false" outlineLevel="0" collapsed="false">
      <c r="A36" s="13"/>
      <c r="B36" s="13" t="s">
        <v>1135</v>
      </c>
      <c r="C36" s="13" t="s">
        <v>1137</v>
      </c>
      <c r="D36" s="14" t="s">
        <v>1058</v>
      </c>
      <c r="E36" s="15" t="s">
        <v>1138</v>
      </c>
      <c r="F36" s="15"/>
      <c r="G36" s="15" t="s">
        <v>1139</v>
      </c>
    </row>
    <row r="37" customFormat="false" ht="35.05" hidden="false" customHeight="false" outlineLevel="0" collapsed="false">
      <c r="A37" s="13"/>
      <c r="B37" s="13" t="s">
        <v>1135</v>
      </c>
      <c r="C37" s="13" t="s">
        <v>1140</v>
      </c>
      <c r="D37" s="21" t="s">
        <v>1071</v>
      </c>
      <c r="E37" s="15" t="s">
        <v>1141</v>
      </c>
      <c r="F37" s="15" t="s">
        <v>1142</v>
      </c>
      <c r="G37" s="15"/>
    </row>
    <row r="38" customFormat="false" ht="15" hidden="false" customHeight="false" outlineLevel="0" collapsed="false">
      <c r="A38" s="13"/>
      <c r="B38" s="13" t="s">
        <v>1143</v>
      </c>
      <c r="C38" s="13" t="s">
        <v>1144</v>
      </c>
      <c r="D38" s="14" t="s">
        <v>1058</v>
      </c>
      <c r="E38" s="15" t="s">
        <v>1144</v>
      </c>
      <c r="F38" s="15"/>
      <c r="G38" s="15"/>
    </row>
    <row r="39" customFormat="false" ht="15" hidden="false" customHeight="false" outlineLevel="0" collapsed="false">
      <c r="A39" s="13"/>
      <c r="B39" s="13" t="s">
        <v>1143</v>
      </c>
      <c r="C39" s="13" t="s">
        <v>1145</v>
      </c>
      <c r="D39" s="14" t="s">
        <v>1058</v>
      </c>
      <c r="E39" s="15" t="s">
        <v>1146</v>
      </c>
      <c r="F39" s="15"/>
      <c r="G39" s="15"/>
    </row>
    <row r="40" customFormat="false" ht="15" hidden="false" customHeight="false" outlineLevel="0" collapsed="false">
      <c r="A40" s="13"/>
      <c r="B40" s="13" t="s">
        <v>1143</v>
      </c>
      <c r="C40" s="13" t="s">
        <v>1147</v>
      </c>
      <c r="D40" s="14" t="s">
        <v>1058</v>
      </c>
      <c r="E40" s="15" t="s">
        <v>1148</v>
      </c>
      <c r="F40" s="15"/>
      <c r="G40" s="15" t="s">
        <v>1149</v>
      </c>
    </row>
    <row r="41" customFormat="false" ht="15" hidden="false" customHeight="false" outlineLevel="0" collapsed="false">
      <c r="A41" s="13"/>
      <c r="B41" s="13" t="s">
        <v>1143</v>
      </c>
      <c r="C41" s="13" t="s">
        <v>269</v>
      </c>
      <c r="D41" s="14" t="s">
        <v>1058</v>
      </c>
      <c r="E41" s="15" t="s">
        <v>358</v>
      </c>
      <c r="F41" s="15"/>
      <c r="G41" s="15"/>
    </row>
    <row r="42" customFormat="false" ht="46.25" hidden="false" customHeight="false" outlineLevel="0" collapsed="false">
      <c r="A42" s="13"/>
      <c r="B42" s="13" t="s">
        <v>1150</v>
      </c>
      <c r="C42" s="13" t="s">
        <v>1151</v>
      </c>
      <c r="D42" s="21" t="s">
        <v>1071</v>
      </c>
      <c r="E42" s="15" t="s">
        <v>1152</v>
      </c>
      <c r="F42" s="15" t="s">
        <v>1153</v>
      </c>
      <c r="G42" s="15"/>
    </row>
    <row r="43" customFormat="false" ht="15" hidden="false" customHeight="false" outlineLevel="0" collapsed="false">
      <c r="A43" s="13"/>
      <c r="B43" s="13" t="s">
        <v>1150</v>
      </c>
      <c r="C43" s="13" t="s">
        <v>1154</v>
      </c>
      <c r="D43" s="21" t="s">
        <v>1071</v>
      </c>
      <c r="E43" s="15" t="s">
        <v>1152</v>
      </c>
      <c r="F43" s="15" t="s">
        <v>1155</v>
      </c>
      <c r="G43" s="15"/>
    </row>
    <row r="44" customFormat="false" ht="15" hidden="false" customHeight="false" outlineLevel="0" collapsed="false">
      <c r="A44" s="13"/>
      <c r="B44" s="13" t="s">
        <v>1150</v>
      </c>
      <c r="C44" s="13" t="s">
        <v>1156</v>
      </c>
      <c r="D44" s="21" t="s">
        <v>1071</v>
      </c>
      <c r="E44" s="15" t="s">
        <v>1152</v>
      </c>
      <c r="F44" s="15" t="s">
        <v>1155</v>
      </c>
      <c r="G44" s="15"/>
    </row>
    <row r="45" customFormat="false" ht="35.05" hidden="false" customHeight="false" outlineLevel="0" collapsed="false">
      <c r="A45" s="13"/>
      <c r="B45" s="13" t="s">
        <v>1150</v>
      </c>
      <c r="C45" s="13" t="s">
        <v>1157</v>
      </c>
      <c r="D45" s="21" t="s">
        <v>1071</v>
      </c>
      <c r="E45" s="15" t="s">
        <v>1158</v>
      </c>
      <c r="F45" s="15" t="s">
        <v>1159</v>
      </c>
      <c r="G45" s="15"/>
    </row>
    <row r="46" customFormat="false" ht="15" hidden="false" customHeight="false" outlineLevel="0" collapsed="false">
      <c r="A46" s="13"/>
      <c r="B46" s="13" t="s">
        <v>1160</v>
      </c>
      <c r="C46" s="13" t="s">
        <v>1161</v>
      </c>
      <c r="D46" s="21" t="s">
        <v>1071</v>
      </c>
      <c r="E46" s="15" t="s">
        <v>1162</v>
      </c>
      <c r="F46" s="15" t="s">
        <v>1163</v>
      </c>
      <c r="G46" s="15"/>
    </row>
    <row r="47" customFormat="false" ht="15" hidden="false" customHeight="false" outlineLevel="0" collapsed="false">
      <c r="A47" s="13"/>
      <c r="B47" s="13" t="s">
        <v>1160</v>
      </c>
      <c r="C47" s="13" t="s">
        <v>1164</v>
      </c>
      <c r="D47" s="21" t="s">
        <v>1071</v>
      </c>
      <c r="E47" s="15" t="s">
        <v>1162</v>
      </c>
      <c r="F47" s="15" t="s">
        <v>1165</v>
      </c>
      <c r="G47" s="15"/>
    </row>
    <row r="48" customFormat="false" ht="15" hidden="false" customHeight="false" outlineLevel="0" collapsed="false">
      <c r="A48" s="13"/>
      <c r="B48" s="13" t="s">
        <v>1160</v>
      </c>
      <c r="C48" s="13" t="s">
        <v>1166</v>
      </c>
      <c r="D48" s="21" t="s">
        <v>1071</v>
      </c>
      <c r="E48" s="15" t="s">
        <v>1162</v>
      </c>
      <c r="F48" s="15" t="s">
        <v>1167</v>
      </c>
      <c r="G48" s="15"/>
    </row>
    <row r="49" customFormat="false" ht="15" hidden="false" customHeight="false" outlineLevel="0" collapsed="false">
      <c r="A49" s="13"/>
      <c r="B49" s="13" t="s">
        <v>1160</v>
      </c>
      <c r="C49" s="13" t="s">
        <v>1168</v>
      </c>
      <c r="D49" s="21" t="s">
        <v>1071</v>
      </c>
      <c r="E49" s="15" t="s">
        <v>1162</v>
      </c>
      <c r="F49" s="15" t="s">
        <v>1169</v>
      </c>
      <c r="G49" s="15"/>
    </row>
    <row r="50" customFormat="false" ht="15" hidden="false" customHeight="false" outlineLevel="0" collapsed="false">
      <c r="A50" s="13"/>
      <c r="B50" s="13" t="s">
        <v>1170</v>
      </c>
      <c r="C50" s="13" t="s">
        <v>1171</v>
      </c>
      <c r="D50" s="21" t="s">
        <v>1071</v>
      </c>
      <c r="E50" s="15" t="s">
        <v>1162</v>
      </c>
      <c r="F50" s="15" t="s">
        <v>1172</v>
      </c>
      <c r="G50" s="15"/>
    </row>
    <row r="51" customFormat="false" ht="15" hidden="false" customHeight="false" outlineLevel="0" collapsed="false">
      <c r="A51" s="13"/>
      <c r="B51" s="13" t="s">
        <v>1170</v>
      </c>
      <c r="C51" s="13" t="s">
        <v>1173</v>
      </c>
      <c r="D51" s="21" t="s">
        <v>1071</v>
      </c>
      <c r="E51" s="15" t="s">
        <v>1162</v>
      </c>
      <c r="F51" s="15" t="s">
        <v>1174</v>
      </c>
      <c r="G51" s="15"/>
    </row>
    <row r="52" customFormat="false" ht="15" hidden="false" customHeight="false" outlineLevel="0" collapsed="false">
      <c r="A52" s="13"/>
      <c r="B52" s="13" t="s">
        <v>1170</v>
      </c>
      <c r="C52" s="13" t="s">
        <v>444</v>
      </c>
      <c r="D52" s="21" t="s">
        <v>1071</v>
      </c>
      <c r="E52" s="15" t="s">
        <v>1162</v>
      </c>
      <c r="F52" s="15" t="s">
        <v>1175</v>
      </c>
      <c r="G52" s="15"/>
    </row>
    <row r="53" customFormat="false" ht="23.85" hidden="false" customHeight="false" outlineLevel="0" collapsed="false">
      <c r="A53" s="13"/>
      <c r="B53" s="13" t="s">
        <v>1170</v>
      </c>
      <c r="C53" s="13" t="s">
        <v>1085</v>
      </c>
      <c r="D53" s="21" t="s">
        <v>1071</v>
      </c>
      <c r="E53" s="15" t="s">
        <v>1162</v>
      </c>
      <c r="F53" s="15" t="s">
        <v>1176</v>
      </c>
      <c r="G53" s="15"/>
    </row>
    <row r="54" customFormat="false" ht="15" hidden="false" customHeight="false" outlineLevel="0" collapsed="false">
      <c r="A54" s="13"/>
      <c r="B54" s="13" t="s">
        <v>1170</v>
      </c>
      <c r="C54" s="13" t="s">
        <v>1177</v>
      </c>
      <c r="D54" s="21" t="s">
        <v>1071</v>
      </c>
      <c r="E54" s="15" t="s">
        <v>1162</v>
      </c>
      <c r="F54" s="15" t="s">
        <v>1178</v>
      </c>
      <c r="G54" s="15"/>
    </row>
    <row r="55" customFormat="false" ht="35.05" hidden="false" customHeight="false" outlineLevel="0" collapsed="false">
      <c r="A55" s="13"/>
      <c r="B55" s="13" t="s">
        <v>1179</v>
      </c>
      <c r="C55" s="13" t="s">
        <v>1180</v>
      </c>
      <c r="D55" s="13" t="s">
        <v>211</v>
      </c>
      <c r="E55" s="15" t="s">
        <v>1181</v>
      </c>
      <c r="F55" s="15"/>
      <c r="G55" s="15" t="s">
        <v>1182</v>
      </c>
    </row>
    <row r="56" customFormat="false" ht="23.85" hidden="false" customHeight="false" outlineLevel="0" collapsed="false">
      <c r="A56" s="13"/>
      <c r="B56" s="13" t="s">
        <v>1183</v>
      </c>
      <c r="C56" s="13" t="s">
        <v>1184</v>
      </c>
      <c r="D56" s="13" t="s">
        <v>1109</v>
      </c>
      <c r="E56" s="15" t="s">
        <v>1185</v>
      </c>
      <c r="F56" s="15"/>
      <c r="G56" s="15" t="s">
        <v>1186</v>
      </c>
    </row>
    <row r="57" customFormat="false" ht="15" hidden="false" customHeight="false" outlineLevel="0" collapsed="false">
      <c r="A57" s="13"/>
      <c r="B57" s="13" t="s">
        <v>1187</v>
      </c>
      <c r="C57" s="13" t="s">
        <v>301</v>
      </c>
      <c r="D57" s="13" t="s">
        <v>211</v>
      </c>
      <c r="E57" s="15" t="s">
        <v>1188</v>
      </c>
      <c r="F57" s="15"/>
      <c r="G57" s="15"/>
    </row>
    <row r="58" customFormat="false" ht="23.85" hidden="false" customHeight="false" outlineLevel="0" collapsed="false">
      <c r="A58" s="13"/>
      <c r="B58" s="13" t="s">
        <v>1187</v>
      </c>
      <c r="C58" s="13" t="s">
        <v>1189</v>
      </c>
      <c r="D58" s="13" t="s">
        <v>1109</v>
      </c>
      <c r="E58" s="15" t="s">
        <v>1190</v>
      </c>
      <c r="F58" s="15"/>
      <c r="G58" s="15"/>
    </row>
    <row r="59" customFormat="false" ht="15" hidden="false" customHeight="false" outlineLevel="0" collapsed="false">
      <c r="A59" s="13"/>
      <c r="B59" s="13" t="s">
        <v>1187</v>
      </c>
      <c r="C59" s="13" t="s">
        <v>1191</v>
      </c>
      <c r="D59" s="14" t="s">
        <v>1058</v>
      </c>
      <c r="E59" s="15" t="s">
        <v>277</v>
      </c>
      <c r="F59" s="15"/>
      <c r="G59" s="15"/>
    </row>
    <row r="60" customFormat="false" ht="23.85" hidden="false" customHeight="false" outlineLevel="0" collapsed="false">
      <c r="A60" s="13"/>
      <c r="B60" s="13" t="s">
        <v>1187</v>
      </c>
      <c r="C60" s="13" t="s">
        <v>1192</v>
      </c>
      <c r="D60" s="13" t="s">
        <v>1109</v>
      </c>
      <c r="E60" s="15" t="s">
        <v>1193</v>
      </c>
      <c r="F60" s="15"/>
      <c r="G60" s="15"/>
    </row>
    <row r="61" customFormat="false" ht="23.85" hidden="false" customHeight="false" outlineLevel="0" collapsed="false">
      <c r="A61" s="13"/>
      <c r="B61" s="13" t="s">
        <v>1194</v>
      </c>
      <c r="C61" s="13" t="s">
        <v>1195</v>
      </c>
      <c r="D61" s="14" t="s">
        <v>1058</v>
      </c>
      <c r="E61" s="15" t="s">
        <v>1196</v>
      </c>
      <c r="F61" s="15"/>
      <c r="G61" s="15" t="s">
        <v>1197</v>
      </c>
    </row>
    <row r="62" customFormat="false" ht="15" hidden="false" customHeight="false" outlineLevel="0" collapsed="false">
      <c r="A62" s="13"/>
      <c r="B62" s="13" t="s">
        <v>1194</v>
      </c>
      <c r="C62" s="13" t="s">
        <v>1198</v>
      </c>
      <c r="D62" s="14" t="s">
        <v>1058</v>
      </c>
      <c r="E62" s="15" t="s">
        <v>1196</v>
      </c>
      <c r="F62" s="15"/>
      <c r="G62" s="15"/>
    </row>
    <row r="63" customFormat="false" ht="15" hidden="false" customHeight="false" outlineLevel="0" collapsed="false">
      <c r="A63" s="13"/>
      <c r="B63" s="13" t="s">
        <v>1194</v>
      </c>
      <c r="C63" s="13" t="s">
        <v>1199</v>
      </c>
      <c r="D63" s="14" t="s">
        <v>1058</v>
      </c>
      <c r="E63" s="15" t="s">
        <v>1196</v>
      </c>
      <c r="F63" s="15"/>
      <c r="G63" s="15"/>
    </row>
    <row r="64" customFormat="false" ht="23.85" hidden="false" customHeight="false" outlineLevel="0" collapsed="false">
      <c r="A64" s="13"/>
      <c r="B64" s="13" t="s">
        <v>1194</v>
      </c>
      <c r="C64" s="13" t="s">
        <v>1140</v>
      </c>
      <c r="D64" s="21" t="s">
        <v>1071</v>
      </c>
      <c r="E64" s="15" t="s">
        <v>1141</v>
      </c>
      <c r="F64" s="15" t="s">
        <v>1200</v>
      </c>
      <c r="G64" s="15"/>
    </row>
    <row r="65" customFormat="false" ht="15" hidden="false" customHeight="false" outlineLevel="0" collapsed="false">
      <c r="A65" s="13"/>
      <c r="B65" s="13" t="s">
        <v>1194</v>
      </c>
      <c r="C65" s="13" t="s">
        <v>1201</v>
      </c>
      <c r="D65" s="14" t="s">
        <v>1058</v>
      </c>
      <c r="E65" s="15" t="s">
        <v>1202</v>
      </c>
      <c r="F65" s="15"/>
      <c r="G65" s="15" t="s">
        <v>1203</v>
      </c>
    </row>
    <row r="66" customFormat="false" ht="15" hidden="false" customHeight="true" outlineLevel="0" collapsed="false">
      <c r="A66" s="26" t="s">
        <v>1204</v>
      </c>
      <c r="B66" s="27" t="s">
        <v>1205</v>
      </c>
      <c r="C66" s="27"/>
      <c r="D66" s="27"/>
      <c r="E66" s="27"/>
      <c r="F66" s="27"/>
      <c r="G66" s="27"/>
    </row>
    <row r="67" customFormat="false" ht="23.85" hidden="false" customHeight="false" outlineLevel="0" collapsed="false">
      <c r="A67" s="13"/>
      <c r="B67" s="13" t="s">
        <v>1206</v>
      </c>
      <c r="C67" s="13" t="s">
        <v>1207</v>
      </c>
      <c r="D67" s="14" t="s">
        <v>1058</v>
      </c>
      <c r="E67" s="15" t="s">
        <v>1208</v>
      </c>
      <c r="F67" s="15"/>
      <c r="G67" s="15" t="s">
        <v>1209</v>
      </c>
    </row>
    <row r="68" customFormat="false" ht="23.85" hidden="false" customHeight="false" outlineLevel="0" collapsed="false">
      <c r="A68" s="13"/>
      <c r="B68" s="13" t="s">
        <v>1206</v>
      </c>
      <c r="C68" s="13" t="s">
        <v>1210</v>
      </c>
      <c r="D68" s="14" t="s">
        <v>1058</v>
      </c>
      <c r="E68" s="15" t="s">
        <v>611</v>
      </c>
      <c r="F68" s="15"/>
      <c r="G68" s="15" t="s">
        <v>1211</v>
      </c>
    </row>
    <row r="69" customFormat="false" ht="23.85" hidden="false" customHeight="false" outlineLevel="0" collapsed="false">
      <c r="A69" s="13"/>
      <c r="B69" s="13" t="s">
        <v>1206</v>
      </c>
      <c r="C69" s="13" t="s">
        <v>1212</v>
      </c>
      <c r="D69" s="13" t="s">
        <v>211</v>
      </c>
      <c r="E69" s="15" t="s">
        <v>1213</v>
      </c>
      <c r="F69" s="15"/>
      <c r="G69" s="15" t="s">
        <v>1214</v>
      </c>
    </row>
    <row r="70" customFormat="false" ht="15" hidden="false" customHeight="false" outlineLevel="0" collapsed="false">
      <c r="A70" s="13"/>
      <c r="B70" s="13" t="s">
        <v>1206</v>
      </c>
      <c r="C70" s="13" t="s">
        <v>1215</v>
      </c>
      <c r="D70" s="14" t="s">
        <v>1058</v>
      </c>
      <c r="E70" s="15" t="s">
        <v>1216</v>
      </c>
      <c r="F70" s="15"/>
      <c r="G70" s="15"/>
    </row>
    <row r="71" customFormat="false" ht="15" hidden="false" customHeight="false" outlineLevel="0" collapsed="false">
      <c r="A71" s="13"/>
      <c r="B71" s="13" t="s">
        <v>1206</v>
      </c>
      <c r="C71" s="13" t="s">
        <v>1217</v>
      </c>
      <c r="D71" s="14" t="s">
        <v>1058</v>
      </c>
      <c r="E71" s="15" t="s">
        <v>487</v>
      </c>
      <c r="F71" s="15"/>
      <c r="G71" s="15"/>
    </row>
    <row r="72" customFormat="false" ht="35.05" hidden="false" customHeight="false" outlineLevel="0" collapsed="false">
      <c r="A72" s="13"/>
      <c r="B72" s="13" t="s">
        <v>1206</v>
      </c>
      <c r="C72" s="13" t="s">
        <v>1218</v>
      </c>
      <c r="D72" s="13" t="s">
        <v>211</v>
      </c>
      <c r="E72" s="15" t="s">
        <v>1219</v>
      </c>
      <c r="F72" s="15"/>
      <c r="G72" s="15" t="s">
        <v>1220</v>
      </c>
    </row>
    <row r="73" customFormat="false" ht="23.85" hidden="false" customHeight="false" outlineLevel="0" collapsed="false">
      <c r="A73" s="13"/>
      <c r="B73" s="13" t="s">
        <v>1206</v>
      </c>
      <c r="C73" s="13" t="s">
        <v>1221</v>
      </c>
      <c r="D73" s="14" t="s">
        <v>1058</v>
      </c>
      <c r="E73" s="15" t="s">
        <v>1222</v>
      </c>
      <c r="F73" s="15"/>
      <c r="G73" s="15" t="s">
        <v>1223</v>
      </c>
    </row>
    <row r="74" customFormat="false" ht="35.05" hidden="false" customHeight="false" outlineLevel="0" collapsed="false">
      <c r="A74" s="13"/>
      <c r="B74" s="13" t="s">
        <v>1206</v>
      </c>
      <c r="C74" s="13" t="s">
        <v>1224</v>
      </c>
      <c r="D74" s="14" t="s">
        <v>1058</v>
      </c>
      <c r="E74" s="15" t="s">
        <v>1208</v>
      </c>
      <c r="F74" s="15"/>
      <c r="G74" s="15" t="s">
        <v>1225</v>
      </c>
    </row>
    <row r="75" customFormat="false" ht="15" hidden="false" customHeight="false" outlineLevel="0" collapsed="false">
      <c r="A75" s="13"/>
      <c r="B75" s="13" t="s">
        <v>1226</v>
      </c>
      <c r="C75" s="13" t="s">
        <v>1227</v>
      </c>
      <c r="D75" s="21" t="s">
        <v>1071</v>
      </c>
      <c r="E75" s="15" t="s">
        <v>1228</v>
      </c>
      <c r="F75" s="15" t="s">
        <v>1229</v>
      </c>
      <c r="G75" s="15"/>
    </row>
    <row r="76" customFormat="false" ht="15" hidden="false" customHeight="false" outlineLevel="0" collapsed="false">
      <c r="A76" s="13"/>
      <c r="B76" s="13" t="s">
        <v>1226</v>
      </c>
      <c r="C76" s="13" t="s">
        <v>1230</v>
      </c>
      <c r="D76" s="21" t="s">
        <v>1071</v>
      </c>
      <c r="E76" s="15" t="s">
        <v>1228</v>
      </c>
      <c r="F76" s="15" t="s">
        <v>1231</v>
      </c>
      <c r="G76" s="15"/>
    </row>
    <row r="77" customFormat="false" ht="23.85" hidden="false" customHeight="false" outlineLevel="0" collapsed="false">
      <c r="A77" s="13"/>
      <c r="B77" s="13" t="s">
        <v>1226</v>
      </c>
      <c r="C77" s="13" t="s">
        <v>1232</v>
      </c>
      <c r="D77" s="21" t="s">
        <v>1071</v>
      </c>
      <c r="E77" s="15" t="s">
        <v>1228</v>
      </c>
      <c r="F77" s="15" t="s">
        <v>1233</v>
      </c>
      <c r="G77" s="15"/>
    </row>
    <row r="78" customFormat="false" ht="35.05" hidden="false" customHeight="false" outlineLevel="0" collapsed="false">
      <c r="A78" s="13"/>
      <c r="B78" s="13" t="s">
        <v>1226</v>
      </c>
      <c r="C78" s="13" t="s">
        <v>1234</v>
      </c>
      <c r="D78" s="21" t="s">
        <v>1071</v>
      </c>
      <c r="E78" s="15" t="s">
        <v>1228</v>
      </c>
      <c r="F78" s="15" t="s">
        <v>1235</v>
      </c>
      <c r="G78" s="15"/>
    </row>
    <row r="79" customFormat="false" ht="15" hidden="false" customHeight="false" outlineLevel="0" collapsed="false">
      <c r="A79" s="13"/>
      <c r="B79" s="13" t="s">
        <v>1226</v>
      </c>
      <c r="C79" s="13" t="s">
        <v>1236</v>
      </c>
      <c r="D79" s="21" t="s">
        <v>1071</v>
      </c>
      <c r="E79" s="15" t="s">
        <v>1228</v>
      </c>
      <c r="F79" s="15" t="s">
        <v>1237</v>
      </c>
      <c r="G79" s="15"/>
    </row>
    <row r="80" customFormat="false" ht="23.85" hidden="false" customHeight="false" outlineLevel="0" collapsed="false">
      <c r="A80" s="13"/>
      <c r="B80" s="13" t="s">
        <v>1226</v>
      </c>
      <c r="C80" s="13" t="s">
        <v>1238</v>
      </c>
      <c r="D80" s="21" t="s">
        <v>1071</v>
      </c>
      <c r="E80" s="15" t="s">
        <v>1228</v>
      </c>
      <c r="F80" s="15" t="s">
        <v>1239</v>
      </c>
      <c r="G80" s="15"/>
    </row>
    <row r="81" customFormat="false" ht="23.85" hidden="false" customHeight="false" outlineLevel="0" collapsed="false">
      <c r="A81" s="13"/>
      <c r="B81" s="13" t="s">
        <v>1226</v>
      </c>
      <c r="C81" s="13" t="s">
        <v>1240</v>
      </c>
      <c r="D81" s="21" t="s">
        <v>1071</v>
      </c>
      <c r="E81" s="15" t="s">
        <v>1228</v>
      </c>
      <c r="F81" s="15" t="s">
        <v>1241</v>
      </c>
      <c r="G81" s="15"/>
    </row>
    <row r="82" customFormat="false" ht="15" hidden="false" customHeight="false" outlineLevel="0" collapsed="false">
      <c r="A82" s="13"/>
      <c r="B82" s="13" t="s">
        <v>1226</v>
      </c>
      <c r="C82" s="13" t="s">
        <v>1242</v>
      </c>
      <c r="D82" s="21" t="s">
        <v>1071</v>
      </c>
      <c r="E82" s="15" t="s">
        <v>1228</v>
      </c>
      <c r="F82" s="15" t="s">
        <v>1243</v>
      </c>
      <c r="G82" s="15"/>
    </row>
    <row r="83" customFormat="false" ht="15" hidden="false" customHeight="false" outlineLevel="0" collapsed="false">
      <c r="A83" s="13"/>
      <c r="B83" s="13" t="s">
        <v>1226</v>
      </c>
      <c r="C83" s="13" t="s">
        <v>1244</v>
      </c>
      <c r="D83" s="14" t="s">
        <v>1058</v>
      </c>
      <c r="E83" s="15" t="s">
        <v>1222</v>
      </c>
      <c r="F83" s="15"/>
      <c r="G83" s="15"/>
    </row>
    <row r="84" customFormat="false" ht="35.05" hidden="false" customHeight="false" outlineLevel="0" collapsed="false">
      <c r="A84" s="13"/>
      <c r="B84" s="13" t="s">
        <v>1226</v>
      </c>
      <c r="C84" s="13" t="s">
        <v>1245</v>
      </c>
      <c r="D84" s="13" t="s">
        <v>1109</v>
      </c>
      <c r="E84" s="15" t="s">
        <v>1246</v>
      </c>
      <c r="F84" s="15"/>
      <c r="G84" s="15" t="s">
        <v>1247</v>
      </c>
    </row>
    <row r="87" customFormat="false" ht="15" hidden="false" customHeight="true" outlineLevel="0" collapsed="false">
      <c r="A87" s="3" t="s">
        <v>1248</v>
      </c>
      <c r="B87" s="10" t="s">
        <v>1249</v>
      </c>
      <c r="C87" s="10"/>
      <c r="D87" s="10"/>
      <c r="E87" s="10"/>
      <c r="F87" s="10"/>
      <c r="G87" s="10"/>
    </row>
    <row r="88" customFormat="false" ht="15" hidden="false" customHeight="false" outlineLevel="0" collapsed="false">
      <c r="A88" s="7" t="s">
        <v>1250</v>
      </c>
      <c r="B88" s="7" t="s">
        <v>1251</v>
      </c>
      <c r="C88" s="7" t="s">
        <v>447</v>
      </c>
      <c r="D88" s="7"/>
      <c r="E88" s="7" t="s">
        <v>1252</v>
      </c>
      <c r="F88" s="7" t="s">
        <v>853</v>
      </c>
      <c r="G88" s="7" t="s">
        <v>1253</v>
      </c>
    </row>
    <row r="89" customFormat="false" ht="15" hidden="false" customHeight="false" outlineLevel="0" collapsed="false">
      <c r="A89" s="13" t="s">
        <v>1254</v>
      </c>
      <c r="B89" s="13" t="s">
        <v>1255</v>
      </c>
      <c r="C89" s="13" t="s">
        <v>1256</v>
      </c>
      <c r="D89" s="13"/>
      <c r="E89" s="15" t="s">
        <v>1257</v>
      </c>
      <c r="F89" s="15" t="s">
        <v>1258</v>
      </c>
      <c r="G89" s="15" t="s">
        <v>1259</v>
      </c>
    </row>
    <row r="90" customFormat="false" ht="23.85" hidden="false" customHeight="false" outlineLevel="0" collapsed="false">
      <c r="A90" s="17" t="s">
        <v>1260</v>
      </c>
      <c r="B90" s="17" t="s">
        <v>1261</v>
      </c>
      <c r="C90" s="17" t="s">
        <v>1256</v>
      </c>
      <c r="D90" s="17"/>
      <c r="E90" s="19" t="s">
        <v>1262</v>
      </c>
      <c r="F90" s="19" t="s">
        <v>1263</v>
      </c>
      <c r="G90" s="19" t="s">
        <v>1259</v>
      </c>
    </row>
    <row r="91" customFormat="false" ht="23.85" hidden="false" customHeight="false" outlineLevel="0" collapsed="false">
      <c r="A91" s="13" t="s">
        <v>1264</v>
      </c>
      <c r="B91" s="13" t="s">
        <v>1265</v>
      </c>
      <c r="C91" s="13" t="s">
        <v>1256</v>
      </c>
      <c r="D91" s="13"/>
      <c r="E91" s="15" t="s">
        <v>1266</v>
      </c>
      <c r="F91" s="15" t="s">
        <v>1267</v>
      </c>
      <c r="G91" s="15" t="s">
        <v>1259</v>
      </c>
    </row>
    <row r="92" customFormat="false" ht="23.85" hidden="false" customHeight="false" outlineLevel="0" collapsed="false">
      <c r="A92" s="17" t="s">
        <v>1268</v>
      </c>
      <c r="B92" s="17" t="s">
        <v>1269</v>
      </c>
      <c r="C92" s="17" t="s">
        <v>1256</v>
      </c>
      <c r="D92" s="17"/>
      <c r="E92" s="19" t="s">
        <v>1270</v>
      </c>
      <c r="F92" s="19" t="s">
        <v>1271</v>
      </c>
      <c r="G92" s="19" t="s">
        <v>1272</v>
      </c>
    </row>
    <row r="93" customFormat="false" ht="23.85" hidden="false" customHeight="false" outlineLevel="0" collapsed="false">
      <c r="A93" s="13" t="s">
        <v>1273</v>
      </c>
      <c r="B93" s="13" t="s">
        <v>1274</v>
      </c>
      <c r="C93" s="13" t="s">
        <v>1275</v>
      </c>
      <c r="D93" s="13"/>
      <c r="E93" s="15" t="s">
        <v>1276</v>
      </c>
      <c r="F93" s="15" t="s">
        <v>1277</v>
      </c>
      <c r="G93" s="15" t="s">
        <v>1259</v>
      </c>
    </row>
    <row r="94" customFormat="false" ht="15" hidden="false" customHeight="false" outlineLevel="0" collapsed="false">
      <c r="A94" s="17" t="s">
        <v>1278</v>
      </c>
      <c r="B94" s="17" t="s">
        <v>1279</v>
      </c>
      <c r="C94" s="17" t="s">
        <v>1275</v>
      </c>
      <c r="D94" s="17"/>
      <c r="E94" s="19" t="s">
        <v>1280</v>
      </c>
      <c r="F94" s="19" t="s">
        <v>737</v>
      </c>
      <c r="G94" s="19" t="s">
        <v>1281</v>
      </c>
    </row>
    <row r="95" customFormat="false" ht="23.85" hidden="false" customHeight="false" outlineLevel="0" collapsed="false">
      <c r="A95" s="13" t="s">
        <v>1282</v>
      </c>
      <c r="B95" s="13" t="s">
        <v>1283</v>
      </c>
      <c r="C95" s="13" t="s">
        <v>1284</v>
      </c>
      <c r="D95" s="13"/>
      <c r="E95" s="15" t="s">
        <v>1285</v>
      </c>
      <c r="F95" s="15" t="s">
        <v>1286</v>
      </c>
      <c r="G95" s="15" t="s">
        <v>1287</v>
      </c>
    </row>
    <row r="96" customFormat="false" ht="23.85" hidden="false" customHeight="false" outlineLevel="0" collapsed="false">
      <c r="A96" s="17" t="s">
        <v>1288</v>
      </c>
      <c r="B96" s="17" t="s">
        <v>1289</v>
      </c>
      <c r="C96" s="17" t="s">
        <v>1256</v>
      </c>
      <c r="D96" s="17"/>
      <c r="E96" s="19" t="s">
        <v>1290</v>
      </c>
      <c r="F96" s="19" t="s">
        <v>1291</v>
      </c>
      <c r="G96" s="19" t="s">
        <v>1292</v>
      </c>
    </row>
    <row r="97" customFormat="false" ht="15" hidden="false" customHeight="false" outlineLevel="0" collapsed="false">
      <c r="A97" s="13" t="s">
        <v>1293</v>
      </c>
      <c r="B97" s="13" t="s">
        <v>1294</v>
      </c>
      <c r="C97" s="13" t="s">
        <v>1256</v>
      </c>
      <c r="D97" s="13"/>
      <c r="E97" s="15" t="s">
        <v>1295</v>
      </c>
      <c r="F97" s="15" t="s">
        <v>1296</v>
      </c>
      <c r="G97" s="15" t="s">
        <v>1297</v>
      </c>
    </row>
    <row r="98" customFormat="false" ht="15" hidden="false" customHeight="false" outlineLevel="0" collapsed="false">
      <c r="A98" s="17" t="s">
        <v>1298</v>
      </c>
      <c r="B98" s="17" t="s">
        <v>1299</v>
      </c>
      <c r="C98" s="17" t="s">
        <v>1256</v>
      </c>
      <c r="D98" s="17"/>
      <c r="E98" s="19" t="s">
        <v>1300</v>
      </c>
      <c r="F98" s="19" t="s">
        <v>1301</v>
      </c>
      <c r="G98" s="19" t="s">
        <v>1259</v>
      </c>
    </row>
    <row r="99" customFormat="false" ht="35.05" hidden="false" customHeight="false" outlineLevel="0" collapsed="false">
      <c r="A99" s="13" t="s">
        <v>1302</v>
      </c>
      <c r="B99" s="13" t="s">
        <v>1303</v>
      </c>
      <c r="C99" s="13" t="s">
        <v>1304</v>
      </c>
      <c r="D99" s="13"/>
      <c r="E99" s="15" t="s">
        <v>1305</v>
      </c>
      <c r="F99" s="15" t="s">
        <v>1306</v>
      </c>
      <c r="G99" s="15" t="s">
        <v>1307</v>
      </c>
    </row>
    <row r="101" customFormat="false" ht="15" hidden="false" customHeight="true" outlineLevel="0" collapsed="false">
      <c r="A101" s="3" t="s">
        <v>1308</v>
      </c>
      <c r="B101" s="10" t="s">
        <v>1309</v>
      </c>
      <c r="C101" s="10"/>
      <c r="D101" s="10"/>
      <c r="E101" s="10"/>
      <c r="F101" s="10"/>
      <c r="G101" s="10"/>
    </row>
    <row r="102" customFormat="false" ht="15" hidden="false" customHeight="false" outlineLevel="0" collapsed="false">
      <c r="A102" s="13"/>
      <c r="B102" s="21" t="s">
        <v>1120</v>
      </c>
      <c r="C102" s="13" t="s">
        <v>1310</v>
      </c>
      <c r="D102" s="13"/>
      <c r="E102" s="13"/>
      <c r="F102" s="13"/>
      <c r="G102" s="13"/>
    </row>
    <row r="103" customFormat="false" ht="15" hidden="false" customHeight="false" outlineLevel="0" collapsed="false">
      <c r="A103" s="13"/>
      <c r="B103" s="21" t="s">
        <v>1158</v>
      </c>
      <c r="C103" s="13" t="s">
        <v>1311</v>
      </c>
      <c r="D103" s="13"/>
      <c r="E103" s="13"/>
      <c r="F103" s="13"/>
      <c r="G103" s="13"/>
    </row>
    <row r="104" customFormat="false" ht="15" hidden="false" customHeight="false" outlineLevel="0" collapsed="false">
      <c r="A104" s="13"/>
      <c r="B104" s="21" t="s">
        <v>1141</v>
      </c>
      <c r="C104" s="13" t="s">
        <v>1310</v>
      </c>
      <c r="D104" s="13"/>
      <c r="E104" s="13"/>
      <c r="F104" s="13"/>
      <c r="G104" s="13"/>
    </row>
    <row r="105" customFormat="false" ht="15" hidden="false" customHeight="false" outlineLevel="0" collapsed="false">
      <c r="A105" s="13"/>
      <c r="B105" s="21" t="s">
        <v>1152</v>
      </c>
      <c r="C105" s="13" t="s">
        <v>1312</v>
      </c>
      <c r="D105" s="13"/>
      <c r="E105" s="13"/>
      <c r="F105" s="13"/>
      <c r="G105" s="13"/>
    </row>
    <row r="106" customFormat="false" ht="15" hidden="false" customHeight="false" outlineLevel="0" collapsed="false">
      <c r="A106" s="13"/>
      <c r="B106" s="21" t="s">
        <v>1076</v>
      </c>
      <c r="C106" s="13" t="s">
        <v>1313</v>
      </c>
      <c r="D106" s="13"/>
      <c r="E106" s="13"/>
      <c r="F106" s="13"/>
      <c r="G106" s="13"/>
    </row>
    <row r="107" customFormat="false" ht="15" hidden="false" customHeight="false" outlineLevel="0" collapsed="false">
      <c r="A107" s="13"/>
      <c r="B107" s="21" t="s">
        <v>1086</v>
      </c>
      <c r="C107" s="13" t="s">
        <v>1311</v>
      </c>
      <c r="D107" s="13"/>
      <c r="E107" s="13"/>
      <c r="F107" s="13"/>
      <c r="G107" s="13"/>
    </row>
    <row r="108" customFormat="false" ht="15" hidden="false" customHeight="false" outlineLevel="0" collapsed="false">
      <c r="A108" s="13"/>
      <c r="B108" s="21" t="s">
        <v>1162</v>
      </c>
      <c r="C108" s="13" t="s">
        <v>1314</v>
      </c>
      <c r="D108" s="13"/>
      <c r="E108" s="13"/>
      <c r="F108" s="13"/>
      <c r="G108" s="13"/>
    </row>
    <row r="109" customFormat="false" ht="15" hidden="false" customHeight="false" outlineLevel="0" collapsed="false">
      <c r="A109" s="13"/>
      <c r="B109" s="21" t="s">
        <v>1104</v>
      </c>
      <c r="C109" s="13" t="s">
        <v>1310</v>
      </c>
      <c r="D109" s="13"/>
      <c r="E109" s="13"/>
      <c r="F109" s="13"/>
      <c r="G109" s="13"/>
    </row>
    <row r="110" customFormat="false" ht="15" hidden="false" customHeight="false" outlineLevel="0" collapsed="false">
      <c r="A110" s="13"/>
      <c r="B110" s="21" t="s">
        <v>1072</v>
      </c>
      <c r="C110" s="13" t="s">
        <v>1313</v>
      </c>
      <c r="D110" s="13"/>
      <c r="E110" s="13"/>
      <c r="F110" s="13"/>
      <c r="G110" s="13"/>
    </row>
    <row r="111" customFormat="false" ht="15" hidden="false" customHeight="false" outlineLevel="0" collapsed="false">
      <c r="A111" s="13"/>
      <c r="B111" s="21" t="s">
        <v>1228</v>
      </c>
      <c r="C111" s="13" t="s">
        <v>1315</v>
      </c>
      <c r="D111" s="13"/>
      <c r="E111" s="13"/>
      <c r="F111" s="13"/>
      <c r="G111" s="13"/>
    </row>
  </sheetData>
  <autoFilter ref="A4:G84"/>
  <mergeCells count="7">
    <mergeCell ref="A2:G2"/>
    <mergeCell ref="B5:G5"/>
    <mergeCell ref="B23:G23"/>
    <mergeCell ref="B34:G34"/>
    <mergeCell ref="B66:G66"/>
    <mergeCell ref="B87:G87"/>
    <mergeCell ref="B101:G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2026-08-01T04:03:14Z</dcterms:created>
  <dc:creator>openpyxl</dc:creator>
  <dc:description/>
  <dc:language>en-IN</dc:language>
  <cp:lastModifiedBy/>
  <dcterms:modified xsi:type="dcterms:W3CDTF">2026-08-01T04:03:14Z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