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8595a7710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a05f4e2df3a4645"/>
    <x:sheet xmlns:r="http://schemas.openxmlformats.org/officeDocument/2006/relationships" name="Summary" sheetId="2" r:id="Rb162261970aa4af4"/>
    <x:sheet xmlns:r="http://schemas.openxmlformats.org/officeDocument/2006/relationships" name="IA" sheetId="3" r:id="R933b882c49e44bd9"/>
    <x:sheet xmlns:r="http://schemas.openxmlformats.org/officeDocument/2006/relationships" name="Popups" sheetId="4" r:id="R4a053e729e394ec1"/>
    <x:sheet xmlns:r="http://schemas.openxmlformats.org/officeDocument/2006/relationships" name="Notifications" sheetId="5" r:id="R548cf307aa2546d9"/>
    <x:sheet xmlns:r="http://schemas.openxmlformats.org/officeDocument/2006/relationships" name="Emails" sheetId="6" r:id="R379ee44ca8dc4f75"/>
    <x:sheet xmlns:r="http://schemas.openxmlformats.org/officeDocument/2006/relationships" name="Gaps" sheetId="7" r:id="Rbd74f8b00caa4937"/>
    <x:sheet xmlns:r="http://schemas.openxmlformats.org/officeDocument/2006/relationships" name="Decisions" sheetId="8" r:id="R2c597e033bda490e"/>
    <x:sheet xmlns:r="http://schemas.openxmlformats.org/officeDocument/2006/relationships" name="Assets" sheetId="9" r:id="Rf9554331246f4ba9"/>
    <x:sheet xmlns:r="http://schemas.openxmlformats.org/officeDocument/2006/relationships" name="Domain" sheetId="10" r:id="R8c2253a2bbae4d22"/>
    <x:sheet xmlns:r="http://schemas.openxmlformats.org/officeDocument/2006/relationships" name="Go-Live Plan" sheetId="11" r:id="R3427bd9690c14478"/>
    <x:sheet xmlns:r="http://schemas.openxmlformats.org/officeDocument/2006/relationships" name="Launch Gap Register" sheetId="12" r:id="R4a4651a1c4224ac3"/>
    <x:sheet xmlns:r="http://schemas.openxmlformats.org/officeDocument/2006/relationships" name="Launch Gates" sheetId="13" r:id="Ra94068f3123e4d64"/>
  </x:sheets>
</x:workbook>
</file>

<file path=xl/comments1.xml><?xml version="1.0" encoding="utf-8"?>
<x:comments xmlns:x="http://schemas.openxmlformats.org/spreadsheetml/2006/main">
  <x:authors>
    <x:author>Claude</x:author>
  </x:authors>
  <x:commentList>
    <x:comment ref="F5" authorId="0">
      <x:text>
        <x:r>
          <x:t>Fill these four columns. Everything to the left is derived and will be overwritten if this workbook is regenerated.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<x:sst xmlns:x="http://schemas.openxmlformats.org/spreadsheetml/2006/main">
  <x:si>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Getaway Collective · Build State</x:t>
  </x:si>
  <x:si>
    <x:t xml:space="preserve">Generated 1 Aug 2026 from the repository at C:\gc-app, commit d58044a</x:t>
  </x:si>
  <x:si>
    <x:t xml:space="preserve">WHAT THIS IS</x:t>
  </x:si>
  <x:si>
    <x:t xml:space="preserve">Every addressable surface, pop-up, notification and email in the platform, with what is built, what is not, and what is waiting on you. The Domain sheet carries the constitutional model: the LLP at the apex, Space / Time / Capital beneath it, Governance as the operating law.</x:t>
  </x:si>
  <x:si>
    <x:t xml:space="preserve">HOW IT WAS MADE</x:t>
  </x:si>
  <x:si>
    <x:t xml:space="preserve">The IA sheet is EXTRACTED, not typed. constants/routes.ts is imported directly and each row's status is read from the generated page file on disk — so this workbook cannot disagree with the application about what exists.</x:t>
  </x:si>
  <x:si>
    <x:t xml:space="preserve">THE SOURCE COLUMN</x:t>
  </x:si>
  <x:si>
    <x:t xml:space="preserve">The single most important column on every sheet after IA. It separates fact from opinion:</x:t>
  </x:si>
  <x:si>
    <x:t xml:space="preserve">  Code</x:t>
  </x:si>
  <x:si>
    <x:t xml:space="preserve">Extracted from the repository. Verifiable — the file and line are named.</x:t>
  </x:si>
  <x:si>
    <x:t xml:space="preserve">  Doc</x:t>
  </x:si>
  <x:si>
    <x:t xml:space="preserve">Stated in a repository document (WAVE-5-OPEN-QUESTIONS.md, WAVE-6-CHANGELOG.md).</x:t>
  </x:si>
  <x:si>
    <x:t xml:space="preserve">  Proposed</x:t>
  </x:si>
  <x:si>
    <x:t xml:space="preserve">MY RECOMMENDATION. Not in the repo, not agreed by you, and not built. Nothing marked Proposed has been decided.</x:t>
  </x:si>
  <x:si>
    <x:t xml:space="preserve">STATUS VALUES</x:t>
  </x:si>
  <x:si>
    <x:t xml:space="preserve">  Built</x:t>
  </x:si>
  <x:si>
    <x:t xml:space="preserve">Renders the real interface.</x:t>
  </x:si>
  <x:si>
    <x:t xml:space="preserve">  Scaffold</x:t>
  </x:si>
  <x:si>
    <x:t xml:space="preserve">Renders the registry Surface: the assembly's declared sections and rules, not the product. It is deliberately obvious that it is a scaffold — a scaffold that looks finished gets signed off.</x:t>
  </x:si>
  <x:si>
    <x:t xml:space="preserve">  Not built</x:t>
  </x:si>
  <x:si>
    <x:t xml:space="preserve">Nothing exists.</x:t>
  </x:si>
  <x:si>
    <x:t xml:space="preserve">  Framework</x:t>
  </x:si>
  <x:si>
    <x:t xml:space="preserve">Handled by a Next.js convention file rather than a page (/404 → not-found.tsx).</x:t>
  </x:si>
  <x:si>
    <x:t xml:space="preserve">CELLS YOU EDIT</x:t>
  </x:si>
  <x:si>
    <x:t xml:space="preserve">Yellow. They are on the Decisions and Assets sheets — the Decision / Owner / Due / Status columns. Everything else is derived and will be overwritten when this is regenerated.</x:t>
  </x:si>
  <x:si>
    <x:t xml:space="preserve">WHAT IS NOT HERE</x:t>
  </x:si>
  <x:si>
    <x:t xml:space="preserve">Database, authentication and payments. None of the three exists — every page reads static TypeScript. See the Gaps sheet.</x:t>
  </x:si>
  <x:si>
    <x:t xml:space="preserve">Build State · Summary</x:t>
  </x:si>
  <x:si>
    <x:t xml:space="preserve">Every figure is a COUNTIF against the IA sheet. Re-derive by regenerating IA; nothing here is typed.</x:t>
  </x:si>
  <x:si>
    <x:t xml:space="preserve">BY STATUS</x:t>
  </x:si>
  <x:si>
    <x:t xml:space="preserve">Scaffold = renders the registry Surface, which shows the assembly's declared sections and rules. It is the product's outline, not the product.</x:t>
  </x:si>
  <x:si>
    <x:t xml:space="preserve">Count</x:t>
  </x:si>
  <x:si>
    <x:t xml:space="preserve">% of total</x:t>
  </x:si>
  <x:si>
    <x:t xml:space="preserve">Built</x:t>
  </x:si>
  <x:si>
    <x:t xml:space="preserve">Scaffold</x:t>
  </x:si>
  <x:si>
    <x:t xml:space="preserve">Framework</x:t>
  </x:si>
  <x:si>
    <x:t xml:space="preserve">Not built</x:t>
  </x:si>
  <x:si>
    <x:t xml:space="preserve">Total</x:t>
  </x:si>
  <x:si>
    <x:t xml:space="preserve">BY ACCESS</x:t>
  </x:si>
  <x:si>
    <x:t xml:space="preserve">Access is DERIVED from the assembly's vantage, not declared per route. Twelve routes override it, and route-lint refuses an override without a stated reason.</x:t>
  </x:si>
  <x:si>
    <x:t xml:space="preserve">public</x:t>
  </x:si>
  <x:si>
    <x:t xml:space="preserve">identified</x:t>
  </x:si>
  <x:si>
    <x:t xml:space="preserve">accredited</x:t>
  </x:si>
  <x:si>
    <x:t xml:space="preserve">member</x:t>
  </x:si>
  <x:si>
    <x:t xml:space="preserve">office</x:t>
  </x:si>
  <x:si>
    <x:t xml:space="preserve">BY GROUP</x:t>
  </x:si>
  <x:si>
    <x:t xml:space="preserve">gateway</x:t>
  </x:si>
  <x:si>
    <x:t xml:space="preserve">space</x:t>
  </x:si>
  <x:si>
    <x:t xml:space="preserve">capital</x:t>
  </x:si>
  <x:si>
    <x:t xml:space="preserve">time</x:t>
  </x:si>
  <x:si>
    <x:t xml:space="preserve">admin</x:t>
  </x:si>
  <x:si>
    <x:t xml:space="preserve">CROSS-CUT</x:t>
  </x:si>
  <x:si>
    <x:t xml:space="preserve">Public AND built</x:t>
  </x:si>
  <x:si>
    <x:t xml:space="preserve">What a stranger can actually see today.</x:t>
  </x:si>
  <x:si>
    <x:t xml:space="preserve">Public AND scaffold</x:t>
  </x:si>
  <x:si>
    <x:t xml:space="preserve">Public URLs that render an outline. These are indexable — the highest-priority build queue.</x:t>
  </x:si>
  <x:si>
    <x:t xml:space="preserve">Indexable</x:t>
  </x:si>
  <x:si>
    <x:t xml:space="preserve">Must equal the public count: route-lint refuses an indexable route that is not public.</x:t>
  </x:si>
  <x:si>
    <x:t xml:space="preserve">Office routes with rights</x:t>
  </x:si>
  <x:si>
    <x:t xml:space="preserve">Office routes naming a required right from lib/authority.ts.</x:t>
  </x:si>
  <x:si>
    <x:t xml:space="preserve">Dynamic routes</x:t>
  </x:si>
  <x:si>
    <x:t xml:space="preserve">Carry at least one [param] segment.</x:t>
  </x:si>
  <x:si>
    <x:t xml:space="preserve">Access overrides</x:t>
  </x:si>
  <x:si>
    <x:t xml:space="preserve">Each states its reason on the IA sheet.</x:t>
  </x:si>
  <x:si>
    <x:t xml:space="preserve">OTHER SHEETS</x:t>
  </x:si>
  <x:si>
    <x:t xml:space="preserve">Pop-ups built</x:t>
  </x:si>
  <x:si>
    <x:t xml:space="preserve">Pop-ups deliberately none</x:t>
  </x:si>
  <x:si>
    <x:t xml:space="preserve">Pop-ups to build</x:t>
  </x:si>
  <x:si>
    <x:t xml:space="preserve">Notifications firing today</x:t>
  </x:si>
  <x:si>
    <x:t xml:space="preserve">Notifications to build</x:t>
  </x:si>
  <x:si>
    <x:t xml:space="preserve">Emails live</x:t>
  </x:si>
  <x:si>
    <x:t xml:space="preserve">Emails to build</x:t>
  </x:si>
  <x:si>
    <x:t xml:space="preserve">Open gaps</x:t>
  </x:si>
  <x:si>
    <x:t xml:space="preserve">Decisions awaiting you</x:t>
  </x:si>
  <x:si>
    <x:t xml:space="preserve">Assets outstanding</x:t>
  </x:si>
  <x:si>
    <x:t xml:space="preserve">Domain constituents</x:t>
  </x:si>
  <x:si>
    <x:t xml:space="preserve">— backed by ratified object/field</x:t>
  </x:si>
  <x:si>
    <x:t xml:space="preserve">— derived or executable law</x:t>
  </x:si>
  <x:si>
    <x:t xml:space="preserve">— registered gaps (§33 queue)</x:t>
  </x:si>
  <x:si>
    <x:t xml:space="preserve">— out of scope by direction</x:t>
  </x:si>
  <x:si>
    <x:t xml:space="preserve">Information Architecture</x:t>
  </x:si>
  <x:si>
    <x:t xml:space="preserve">Every URL in the system. Extracted from constants/routes.ts; Status read from the generated page file on disk. Nothing else in the platform holds a URL — a path not on this sheet does not exist.</x:t>
  </x:si>
  <x:si>
    <x:t xml:space="preserve">Path</x:t>
  </x:si>
  <x:si>
    <x:t xml:space="preserve">Name</x:t>
  </x:si>
  <x:si>
    <x:t xml:space="preserve">Group</x:t>
  </x:si>
  <x:si>
    <x:t xml:space="preserve">Vantage</x:t>
  </x:si>
  <x:si>
    <x:t xml:space="preserve">Access</x:t>
  </x:si>
  <x:si>
    <x:t xml:space="preserve">Assembly</x:t>
  </x:si>
  <x:si>
    <x:t xml:space="preserve">Assembly Name</x:t>
  </x:si>
  <x:si>
    <x:t xml:space="preserve">Status</x:t>
  </x:si>
  <x:si>
    <x:t xml:space="preserve">Rendered By</x:t>
  </x:si>
  <x:si>
    <x:t xml:space="preserve">Module</x:t>
  </x:si>
  <x:si>
    <x:t xml:space="preserve">Rights</x:t>
  </x:si>
  <x:si>
    <x:t xml:space="preserve">Params</x:t>
  </x:si>
  <x:si>
    <x:t xml:space="preserve">Access Override — why</x:t>
  </x:si>
  <x:si>
    <x:t xml:space="preserve">Notes</x:t>
  </x:si>
  <x:si>
    <x:t xml:space="preserve">/</x:t>
  </x:si>
  <x:si>
    <x:t xml:space="preserve">Home</x:t>
  </x:si>
  <x:si>
    <x:t xml:space="preserve">yes</x:t>
  </x:si>
  <x:si>
    <x:t xml:space="preserve">AS-32</x:t>
  </x:si>
  <x:si>
    <x:t xml:space="preserve">The Public Surface</x:t>
  </x:si>
  <x:si>
    <x:t xml:space="preserve">Root</x:t>
  </x:si>
  <x:si>
    <x:t xml:space="preserve">publicpages</x:t>
  </x:si>
  <x:si>
    <x:t xml:space="preserve">Hero region, then routes into the collection. No figure above the fold.</x:t>
  </x:si>
  <x:si>
    <x:t xml:space="preserve">/403</x:t>
  </x:si>
  <x:si>
    <x:t xml:space="preserve">Not Permitted</x:t>
  </x:si>
  <x:si>
    <x:t xml:space="preserve">AS-16</x:t>
  </x:si>
  <x:si>
    <x:t xml:space="preserve">Signal Lost</x:t>
  </x:si>
  <x:si>
    <x:t xml:space="preserve">Surface (registry scaffold)</x:t>
  </x:si>
  <x:si>
    <x:t xml:space="preserve">Says the viewer may not see it. Never says whether it EXISTS — that distinction leaks the shape of the system to anyone probing it.</x:t>
  </x:si>
  <x:si>
    <x:t xml:space="preserve">/404</x:t>
  </x:si>
  <x:si>
    <x:t xml:space="preserve">Not Found</x:t>
  </x:si>
  <x:si>
    <x:t xml:space="preserve">No stack trace, no exception name, no auto-redirect. [extract] No page.tsx: Next.js serves this from app/not-found.tsx / app/error.tsx by convention.</x:t>
  </x:si>
  <x:si>
    <x:t xml:space="preserve">/500</x:t>
  </x:si>
  <x:si>
    <x:t xml:space="preserve">System Error</x:t>
  </x:si>
  <x:si>
    <x:t xml:space="preserve">[extract] No page.tsx: Next.js serves this from app/not-found.tsx / app/error.tsx by convention.</x:t>
  </x:si>
  <x:si>
    <x:t xml:space="preserve">/answers</x:t>
  </x:si>
  <x:si>
    <x:t xml:space="preserve">Answers</x:t>
  </x:si>
  <x:si>
    <x:t xml:space="preserve">AS-17</x:t>
  </x:si>
  <x:si>
    <x:t xml:space="preserve">The Knowledge Base</x:t>
  </x:si>
  <x:si>
    <x:t xml:space="preserve">gatewaypages</x:t>
  </x:si>
  <x:si>
    <x:t xml:space="preserve">/auth/sign-in</x:t>
  </x:si>
  <x:si>
    <x:t xml:space="preserve">Identify</x:t>
  </x:si>
  <x:si>
    <x:t xml:space="preserve">No password is ever handled by the design system. Delegated.</x:t>
  </x:si>
  <x:si>
    <x:t xml:space="preserve">/auth/sign-out</x:t>
  </x:si>
  <x:si>
    <x:t xml:space="preserve">Sign Out</x:t>
  </x:si>
  <x:si>
    <x:t xml:space="preserve">/auth/verify</x:t>
  </x:si>
  <x:si>
    <x:t xml:space="preserve">Verify</x:t>
  </x:si>
  <x:si>
    <x:t xml:space="preserve">The token arrives as a QUERY parameter, not a path segment, and it is not declared as a param for that reason. It is in the URL at all only because an email link has no other carrier — so it is single-use, short-lived, and stripped from the address bar on arrival. A URL is written to server logs, browser history and referrer headers.</x:t>
  </x:si>
  <x:si>
    <x:t xml:space="preserve">/collection</x:t>
  </x:si>
  <x:si>
    <x:t xml:space="preserve">The Collection</x:t>
  </x:si>
  <x:si>
    <x:t xml:space="preserve">AS-01</x:t>
  </x:si>
  <x:si>
    <x:t xml:space="preserve">The Gateway Grid</x:t>
  </x:si>
  <x:si>
    <x:t xml:space="preserve">GatewayGrid</x:t>
  </x:si>
  <x:si>
    <x:t xml:space="preserve">/collective/gallery</x:t>
  </x:si>
  <x:si>
    <x:t xml:space="preserve">The Evidence Portfolio</x:t>
  </x:si>
  <x:si>
    <x:t xml:space="preserve">Evidence</x:t>
  </x:si>
  <x:si>
    <x:t xml:space="preserve">PUB.08. Ships empty: every plate must say whether it is a photograph, a render or a drawing, and a portfolio of renders shown as photographs is the commonest misrepresentation in this industry. /gallery (AS-09) is a property gallery and is a different thing; both are retained.</x:t>
  </x:si>
  <x:si>
    <x:t xml:space="preserve">/collective/operators</x:t>
  </x:si>
  <x:si>
    <x:t xml:space="preserve">The Operators</x:t>
  </x:si>
  <x:si>
    <x:t xml:space="preserve">Operators</x:t>
  </x:si>
  <x:si>
    <x:t xml:space="preserve">PUB.06 — what runs a property, and who is accountable when it does not.</x:t>
  </x:si>
  <x:si>
    <x:t xml:space="preserve">/collective/partners</x:t>
  </x:si>
  <x:si>
    <x:t xml:space="preserve">The Foundation</x:t>
  </x:si>
  <x:si>
    <x:t xml:space="preserve">Partners</x:t>
  </x:si>
  <x:si>
    <x:t xml:space="preserve">PUB.05 — the independent firms. Ships with functions stated and holders withheld until each engagement is recorded against the vehicle it serves.</x:t>
  </x:si>
  <x:si>
    <x:t xml:space="preserve">/collective/press</x:t>
  </x:si>
  <x:si>
    <x:t xml:space="preserve">The Wire</x:t>
  </x:si>
  <x:si>
    <x:t xml:space="preserve">Wire</x:t>
  </x:si>
  <x:si>
    <x:t xml:space="preserve">PUB.10 — external coverage. Ships empty and says so; the wireframe's six clippings were quotes attributed to real publications that have not published them.</x:t>
  </x:si>
  <x:si>
    <x:t xml:space="preserve">/communique/request</x:t>
  </x:si>
  <x:si>
    <x:t xml:space="preserve">Request the Dossier</x:t>
  </x:si>
  <x:si>
    <x:t xml:space="preserve">Dossier</x:t>
  </x:si>
  <x:si>
    <x:t xml:space="preserve">PUB.07 — the intelligence pack. What requesting it creates is stated above the form.</x:t>
  </x:si>
  <x:si>
    <x:t xml:space="preserve">/gallery</x:t>
  </x:si>
  <x:si>
    <x:t xml:space="preserve">Gallery</x:t>
  </x:si>
  <x:si>
    <x:t xml:space="preserve">AS-09</x:t>
  </x:si>
  <x:si>
    <x:t xml:space="preserve">The Gallery Frame</x:t>
  </x:si>
  <x:si>
    <x:t xml:space="preserve">/how-it-works</x:t>
  </x:si>
  <x:si>
    <x:t xml:space="preserve">How It Works</x:t>
  </x:si>
  <x:si>
    <x:t xml:space="preserve">HowItWorks</x:t>
  </x:si>
  <x:si>
    <x:t xml:space="preserve">PUB.02 / PUB.11 — the doctrine, then a hard cut to the arithmetic. Distinct from /how-capital-works, which is the waterfall itself rather than the argument for it.</x:t>
  </x:si>
  <x:si>
    <x:t xml:space="preserve">/journal</x:t>
  </x:si>
  <x:si>
    <x:t xml:space="preserve">The Journal</x:t>
  </x:si>
  <x:si>
    <x:t xml:space="preserve">AS-30</x:t>
  </x:si>
  <x:si>
    <x:t xml:space="preserve">JournalIndex</x:t>
  </x:si>
  <x:si>
    <x:t xml:space="preserve">documents</x:t>
  </x:si>
  <x:si>
    <x:t xml:space="preserve">Index. Entries newest first; the order is checked at load.</x:t>
  </x:si>
  <x:si>
    <x:t xml:space="preserve">/journal/[slug]</x:t>
  </x:si>
  <x:si>
    <x:t xml:space="preserve">Journal Entry</x:t>
  </x:si>
  <x:si>
    <x:t xml:space="preserve">JournalEntry</x:t>
  </x:si>
  <x:si>
    <x:t xml:space="preserve">slug</x:t>
  </x:si>
  <x:si>
    <x:t xml:space="preserve">One entry. Figures are read from the registries, never typed into the prose.</x:t>
  </x:si>
  <x:si>
    <x:t xml:space="preserve">/legal</x:t>
  </x:si>
  <x:si>
    <x:t xml:space="preserve">Legal</x:t>
  </x:si>
  <x:si>
    <x:t xml:space="preserve">AS-29</x:t>
  </x:si>
  <x:si>
    <x:t xml:space="preserve">The Standing Document</x:t>
  </x:si>
  <x:si>
    <x:t xml:space="preserve">DocumentIndex</x:t>
  </x:si>
  <x:si>
    <x:t xml:space="preserve">Index of the standing documents.</x:t>
  </x:si>
  <x:si>
    <x:t xml:space="preserve">/legal/accessibility</x:t>
  </x:si>
  <x:si>
    <x:t xml:space="preserve">Accessibility Statement</x:t>
  </x:si>
  <x:si>
    <x:t xml:space="preserve">StandingDoc</x:t>
  </x:si>
  <x:si>
    <x:t xml:space="preserve">States what has been tested and what has not. Currently: contrast computed, no assistive-technology testing performed.</x:t>
  </x:si>
  <x:si>
    <x:t xml:space="preserve">/legal/complaints</x:t>
  </x:si>
  <x:si>
    <x:t xml:space="preserve">Complaints Procedure</x:t>
  </x:si>
  <x:si>
    <x:t xml:space="preserve">/legal/cookies</x:t>
  </x:si>
  <x:si>
    <x:t xml:space="preserve">Cookie Notice</x:t>
  </x:si>
  <x:si>
    <x:t xml:space="preserve">/legal/disclosures</x:t>
  </x:si>
  <x:si>
    <x:t xml:space="preserve">Standing Disclosures</x:t>
  </x:si>
  <x:si>
    <x:t xml:space="preserve">Capital at risk, past performance, no guarantee. Body size, reading tone.</x:t>
  </x:si>
  <x:si>
    <x:t xml:space="preserve">/legal/privacy</x:t>
  </x:si>
  <x:si>
    <x:t xml:space="preserve">Privacy Notice</x:t>
  </x:si>
  <x:si>
    <x:t xml:space="preserve">/legal/terms</x:t>
  </x:si>
  <x:si>
    <x:t xml:space="preserve">Terms and Conditions</x:t>
  </x:si>
  <x:si>
    <x:t xml:space="preserve">/maintenance</x:t>
  </x:si>
  <x:si>
    <x:t xml:space="preserve">Maintenance</x:t>
  </x:si>
  <x:si>
    <x:t xml:space="preserve">AS-15</x:t>
  </x:si>
  <x:si>
    <x:t xml:space="preserve">System Status</x:t>
  </x:si>
  <x:si>
    <x:t xml:space="preserve">/portfolio</x:t>
  </x:si>
  <x:si>
    <x:t xml:space="preserve">The Portfolio</x:t>
  </x:si>
  <x:si>
    <x:t xml:space="preserve">AS-07</x:t>
  </x:si>
  <x:si>
    <x:t xml:space="preserve">The Portfolio Narrative</x:t>
  </x:si>
  <x:si>
    <x:t xml:space="preserve">Portfolio</x:t>
  </x:si>
  <x:si>
    <x:t xml:space="preserve">/roles</x:t>
  </x:si>
  <x:si>
    <x:t xml:space="preserve">Open Roles</x:t>
  </x:si>
  <x:si>
    <x:t xml:space="preserve">AS-18</x:t>
  </x:si>
  <x:si>
    <x:t xml:space="preserve">Recruitment</x:t>
  </x:si>
  <x:si>
    <x:t xml:space="preserve">Roles</x:t>
  </x:si>
  <x:si>
    <x:t xml:space="preserve">/roles/[code]</x:t>
  </x:si>
  <x:si>
    <x:t xml:space="preserve">Role</x:t>
  </x:si>
  <x:si>
    <x:t xml:space="preserve">RoleDetail</x:t>
  </x:si>
  <x:si>
    <x:t xml:space="preserve">code</x:t>
  </x:si>
  <x:si>
    <x:t xml:space="preserve">/search</x:t>
  </x:si>
  <x:si>
    <x:t xml:space="preserve">Search</x:t>
  </x:si>
  <x:si>
    <x:t xml:space="preserve">no</x:t>
  </x:si>
  <x:si>
    <x:t xml:space="preserve">Results are scoped to what the viewer may see, which requires knowing who they are. An anonymous search would either return nothing or leak the index.</x:t>
  </x:si>
  <x:si>
    <x:t xml:space="preserve">/signal</x:t>
  </x:si>
  <x:si>
    <x:t xml:space="preserve">The Signal</x:t>
  </x:si>
  <x:si>
    <x:t xml:space="preserve">Signal</x:t>
  </x:si>
  <x:si>
    <x:t xml:space="preserve">PUB.09 — the weekly transmission. No tuner gate; the form is simply present.</x:t>
  </x:si>
  <x:si>
    <x:t xml:space="preserve">/space</x:t>
  </x:si>
  <x:si>
    <x:t xml:space="preserve">Space</x:t>
  </x:si>
  <x:si>
    <x:t xml:space="preserve">The physical product: what is built, from what, and what it takes to keep standing.</x:t>
  </x:si>
  <x:si>
    <x:t xml:space="preserve">/status</x:t>
  </x:si>
  <x:si>
    <x:t xml:space="preserve">/story</x:t>
  </x:si>
  <x:si>
    <x:t xml:space="preserve">Story</x:t>
  </x:si>
  <x:si>
    <x:t xml:space="preserve">AS-08</x:t>
  </x:si>
  <x:si>
    <x:t xml:space="preserve">The Story Playback</x:t>
  </x:si>
  <x:si>
    <x:t xml:space="preserve">/structure</x:t>
  </x:si>
  <x:si>
    <x:t xml:space="preserve">The Vehicle</x:t>
  </x:si>
  <x:si>
    <x:t xml:space="preserve">Structure</x:t>
  </x:si>
  <x:si>
    <x:t xml:space="preserve">From the PUB.01 footer, which calls it SPV Structure. The constitutional default is an LLP; an SPV needs Board approval per property, and the page says so.</x:t>
  </x:si>
  <x:si>
    <x:t xml:space="preserve">/time</x:t>
  </x:si>
  <x:si>
    <x:t xml:space="preserve">Time</x:t>
  </x:si>
  <x:si>
    <x:t xml:space="preserve">Entitlement: what it is, what it is not, and when it begins. The wireframe's exchange console is stated as unbuilt rather than described as though it exists.</x:t>
  </x:si>
  <x:si>
    <x:t xml:space="preserve">/voices</x:t>
  </x:si>
  <x:si>
    <x:t xml:space="preserve">Voices</x:t>
  </x:si>
  <x:si>
    <x:t xml:space="preserve">AS-24</x:t>
  </x:si>
  <x:si>
    <x:t xml:space="preserve">Testimonials</x:t>
  </x:si>
  <x:si>
    <x:t xml:space="preserve">Testimonials. No figure, no return, no performance reference — regulated speech.</x:t>
  </x:si>
  <x:si>
    <x:t xml:space="preserve">/collection/[property]</x:t>
  </x:si>
  <x:si>
    <x:t xml:space="preserve">Property</x:t>
  </x:si>
  <x:si>
    <x:t xml:space="preserve">AS-03</x:t>
  </x:si>
  <x:si>
    <x:t xml:space="preserve">The Property Masthead</x:t>
  </x:si>
  <x:si>
    <x:t xml:space="preserve">PropertyMasthead</x:t>
  </x:si>
  <x:si>
    <x:t xml:space="preserve">property</x:t>
  </x:si>
  <x:si>
    <x:t xml:space="preserve">/collection/[property]/capital</x:t>
  </x:si>
  <x:si>
    <x:t xml:space="preserve">Capital</x:t>
  </x:si>
  <x:si>
    <x:t xml:space="preserve">The Capital LENS at the space vantage. Renders AP-03 and routes to the console; it does not render console disclosure because a tab is labelled Capital.</x:t>
  </x:si>
  <x:si>
    <x:t xml:space="preserve">/collection/[property]/gallery</x:t>
  </x:si>
  <x:si>
    <x:t xml:space="preserve">AS-10</x:t>
  </x:si>
  <x:si>
    <x:t xml:space="preserve">The Gallery Strip</x:t>
  </x:si>
  <x:si>
    <x:t xml:space="preserve">/collection/[property]/location</x:t>
  </x:si>
  <x:si>
    <x:t xml:space="preserve">Location</x:t>
  </x:si>
  <x:si>
    <x:t xml:space="preserve">AS-12</x:t>
  </x:si>
  <x:si>
    <x:t xml:space="preserve">Location Intelligence</x:t>
  </x:si>
  <x:si>
    <x:t xml:space="preserve">/collection/[property]/space</x:t>
  </x:si>
  <x:si>
    <x:t xml:space="preserve">/collection/[property]/time</x:t>
  </x:si>
  <x:si>
    <x:t xml:space="preserve">/flow</x:t>
  </x:si>
  <x:si>
    <x:t xml:space="preserve">SlowSpace Coastal</x:t>
  </x:si>
  <x:si>
    <x:t xml:space="preserve">Offering</x:t>
  </x:si>
  <x:si>
    <x:t xml:space="preserve">flow</x:t>
  </x:si>
  <x:si>
    <x:t xml:space="preserve">Step 1 of 5. The offering at the space vantage: capital stack, six-stage waterfall, governance and programme, each carrying its confidence class.</x:t>
  </x:si>
  <x:si>
    <x:t xml:space="preserve">/capital</x:t>
  </x:si>
  <x:si>
    <x:t xml:space="preserve">Capital Console</x:t>
  </x:si>
  <x:si>
    <x:t xml:space="preserve">AS-02</x:t>
  </x:si>
  <x:si>
    <x:t xml:space="preserve">The Property Console</x:t>
  </x:si>
  <x:si>
    <x:t xml:space="preserve">portfolio.manage</x:t>
  </x:si>
  <x:si>
    <x:t xml:space="preserve">/capital/calls</x:t>
  </x:si>
  <x:si>
    <x:t xml:space="preserve">Capital Calls</x:t>
  </x:si>
  <x:si>
    <x:t xml:space="preserve">AS-26</x:t>
  </x:si>
  <x:si>
    <x:t xml:space="preserve">The Capital Call</x:t>
  </x:si>
  <x:si>
    <x:t xml:space="preserve">capital.call</x:t>
  </x:si>
  <x:si>
    <x:t xml:space="preserve">/capital/distributions</x:t>
  </x:si>
  <x:si>
    <x:t xml:space="preserve">Distributions</x:t>
  </x:si>
  <x:si>
    <x:t xml:space="preserve">distribution.execute</x:t>
  </x:si>
  <x:si>
    <x:t xml:space="preserve">/capital/distributions/[ref]</x:t>
  </x:si>
  <x:si>
    <x:t xml:space="preserve">Distribution</x:t>
  </x:si>
  <x:si>
    <x:t xml:space="preserve">ref</x:t>
  </x:si>
  <x:si>
    <x:t xml:space="preserve">/capital/offerings</x:t>
  </x:si>
  <x:si>
    <x:t xml:space="preserve">Offerings</x:t>
  </x:si>
  <x:si>
    <x:t xml:space="preserve">offering.open</x:t>
  </x:si>
  <x:si>
    <x:t xml:space="preserve">/capital/properties</x:t>
  </x:si>
  <x:si>
    <x:t xml:space="preserve">Properties</x:t>
  </x:si>
  <x:si>
    <x:t xml:space="preserve">/capital/properties/[id]</x:t>
  </x:si>
  <x:si>
    <x:t xml:space="preserve">Property Console</x:t>
  </x:si>
  <x:si>
    <x:t xml:space="preserve">id</x:t>
  </x:si>
  <x:si>
    <x:t xml:space="preserve">/capital/properties/[id]/programme</x:t>
  </x:si>
  <x:si>
    <x:t xml:space="preserve">Programme</x:t>
  </x:si>
  <x:si>
    <x:t xml:space="preserve">AS-11</x:t>
  </x:si>
  <x:si>
    <x:t xml:space="preserve">The Stage Progression</x:t>
  </x:si>
  <x:si>
    <x:t xml:space="preserve">property.advance_lifecycle</x:t>
  </x:si>
  <x:si>
    <x:t xml:space="preserve">/capital/properties/[id]/valuations</x:t>
  </x:si>
  <x:si>
    <x:t xml:space="preserve">Valuations</x:t>
  </x:si>
  <x:si>
    <x:t xml:space="preserve">valuation.record</x:t>
  </x:si>
  <x:si>
    <x:t xml:space="preserve">/capital/risk</x:t>
  </x:si>
  <x:si>
    <x:t xml:space="preserve">Risk Register</x:t>
  </x:si>
  <x:si>
    <x:t xml:space="preserve">AS-28</x:t>
  </x:si>
  <x:si>
    <x:t xml:space="preserve">The Risk Register</x:t>
  </x:si>
  <x:si>
    <x:t xml:space="preserve">compliance.record</x:t>
  </x:si>
  <x:si>
    <x:t xml:space="preserve">/capital/waterfall</x:t>
  </x:si>
  <x:si>
    <x:t xml:space="preserve">Waterfall</x:t>
  </x:si>
  <x:si>
    <x:t xml:space="preserve">AS-04</x:t>
  </x:si>
  <x:si>
    <x:t xml:space="preserve">The Capital Explainer</x:t>
  </x:si>
  <x:si>
    <x:t xml:space="preserve">CapitalExplainer</x:t>
  </x:si>
  <x:si>
    <x:t xml:space="preserve">/commit/[offering]</x:t>
  </x:si>
  <x:si>
    <x:t xml:space="preserve">Commit</x:t>
  </x:si>
  <x:si>
    <x:t xml:space="preserve">AS-06</x:t>
  </x:si>
  <x:si>
    <x:t xml:space="preserve">The Commitment Flow</x:t>
  </x:si>
  <x:si>
    <x:t xml:space="preserve">offering</x:t>
  </x:si>
  <x:si>
    <x:t xml:space="preserve">An Investor commits BEFORE membership exists — the Member Law fires on settlement, not here. Requiring member access would make it unreachable by anyone who could use it.</x:t>
  </x:si>
  <x:si>
    <x:t xml:space="preserve">/commit/[offering]/execute</x:t>
  </x:si>
  <x:si>
    <x:t xml:space="preserve">Execute</x:t>
  </x:si>
  <x:si>
    <x:t xml:space="preserve">AS-19</x:t>
  </x:si>
  <x:si>
    <x:t xml:space="preserve">The Ledger Lock</x:t>
  </x:si>
  <x:si>
    <x:t xml:space="preserve">The execution sequence for a commitment made before membership exists.</x:t>
  </x:si>
  <x:si>
    <x:t xml:space="preserve">/commit/[offering]/risk</x:t>
  </x:si>
  <x:si>
    <x:t xml:space="preserve">Risk Disclosure</x:t>
  </x:si>
  <x:si>
    <x:t xml:space="preserve">AS-14</x:t>
  </x:si>
  <x:si>
    <x:t xml:space="preserve">The Risk Disclosure</x:t>
  </x:si>
  <x:si>
    <x:t xml:space="preserve">The gate immediately before commitment, on the same path and for the same reason.</x:t>
  </x:si>
  <x:si>
    <x:t xml:space="preserve">/flow/commit</x:t>
  </x:si>
  <x:si>
    <x:t xml:space="preserve">A worked demonstration of the whole arc, on illustrative data for a fictional partner rather than a real position. Public because the point is that a prospective investor can see every step - including the accreditation and disclosure they would meet later - before committing to any of it.</x:t>
  </x:si>
  <x:si>
    <x:t xml:space="preserve">Step 4. The piston, 3000ms linear. States Committed, never Member.</x:t>
  </x:si>
  <x:si>
    <x:t xml:space="preserve">/flow/risk</x:t>
  </x:si>
  <x:si>
    <x:t xml:space="preserve">RiskDisclosure</x:t>
  </x:si>
  <x:si>
    <x:t xml:space="preserve">Step 3. Seven clauses in severity order, on paper. The gate opens on reaching the end by any route.</x:t>
  </x:si>
  <x:si>
    <x:t xml:space="preserve">/how-capital-works</x:t>
  </x:si>
  <x:si>
    <x:t xml:space="preserve">How Capital Works</x:t>
  </x:si>
  <x:si>
    <x:t xml:space="preserve">The waterfall explainer is the single most important thing a prospective investor can read before committing, and putting it behind a sign-in would mean the disclosure only reaches people who have already decided.</x:t>
  </x:si>
  <x:si>
    <x:t xml:space="preserve">/legal/risk-disclosure</x:t>
  </x:si>
  <x:si>
    <x:t xml:space="preserve">It gates commitment, and it is also the document a prospective investor most needs to read before deciding whether to start. Public to read; the ACKNOWLEDGEMENT still requires identity and is recorded against a version.</x:t>
  </x:si>
  <x:si>
    <x:t xml:space="preserve">/member/entitlement</x:t>
  </x:si>
  <x:si>
    <x:t xml:space="preserve">Entitlement</x:t>
  </x:si>
  <x:si>
    <x:t xml:space="preserve">AS-25</x:t>
  </x:si>
  <x:si>
    <x:t xml:space="preserve">The Time Ledger</x:t>
  </x:si>
  <x:si>
    <x:t xml:space="preserve">/member/entitlement/[year]</x:t>
  </x:si>
  <x:si>
    <x:t xml:space="preserve">Entitlement Year</x:t>
  </x:si>
  <x:si>
    <x:t xml:space="preserve">year</x:t>
  </x:si>
  <x:si>
    <x:t xml:space="preserve">/flow/accreditation</x:t>
  </x:si>
  <x:si>
    <x:t xml:space="preserve">Accreditation</x:t>
  </x:si>
  <x:si>
    <x:t xml:space="preserve">Step 2. PR-01, resumable - each field saves on blur to a draft record.</x:t>
  </x:si>
  <x:si>
    <x:t xml:space="preserve">/flow/settled</x:t>
  </x:si>
  <x:si>
    <x:t xml:space="preserve">Settled</x:t>
  </x:si>
  <x:si>
    <x:t xml:space="preserve">Step 5. The first screen where the Member Law has fired.</x:t>
  </x:si>
  <x:si>
    <x:t xml:space="preserve">/member</x:t>
  </x:si>
  <x:si>
    <x:t xml:space="preserve">Your Position</x:t>
  </x:si>
  <x:si>
    <x:t xml:space="preserve">AS-05</x:t>
  </x:si>
  <x:si>
    <x:t xml:space="preserve">The Member Console</x:t>
  </x:si>
  <x:si>
    <x:t xml:space="preserve">/member/calibration</x:t>
  </x:si>
  <x:si>
    <x:t xml:space="preserve">Unit Calibration</x:t>
  </x:si>
  <x:si>
    <x:t xml:space="preserve">AS-33</x:t>
  </x:si>
  <x:si>
    <x:t xml:space="preserve">The Member Surface</x:t>
  </x:si>
  <x:si>
    <x:t xml:space="preserve">Calibration</x:t>
  </x:si>
  <x:si>
    <x:t xml:space="preserve">memberpages</x:t>
  </x:si>
  <x:si>
    <x:t xml:space="preserve">MEM.05. Every control is real and none can be transmitted: the property is at pre-construction, so there is no management system to reach.</x:t>
  </x:si>
  <x:si>
    <x:t xml:space="preserve">/member/calls</x:t>
  </x:si>
  <x:si>
    <x:t xml:space="preserve">/member/calls/[ref]</x:t>
  </x:si>
  <x:si>
    <x:t xml:space="preserve">Capital Call</x:t>
  </x:si>
  <x:si>
    <x:t xml:space="preserve">Default consequences render in full above the payment control.</x:t>
  </x:si>
  <x:si>
    <x:t xml:space="preserve">/member/codex</x:t>
  </x:si>
  <x:si>
    <x:t xml:space="preserve">The Codex</x:t>
  </x:si>
  <x:si>
    <x:t xml:space="preserve">Codex</x:t>
  </x:si>
  <x:si>
    <x:t xml:space="preserve">MEM.07. The manual for one property. The conduct-linked forced buyback the source specifies is marked as not drafted and not in force.</x:t>
  </x:si>
  <x:si>
    <x:t xml:space="preserve">/member/distributions</x:t>
  </x:si>
  <x:si>
    <x:t xml:space="preserve">/member/distributions/[ref]</x:t>
  </x:si>
  <x:si>
    <x:t xml:space="preserve">/member/documents</x:t>
  </x:si>
  <x:si>
    <x:t xml:space="preserve">Documents</x:t>
  </x:si>
  <x:si>
    <x:t xml:space="preserve">/member/documents/[id]</x:t>
  </x:si>
  <x:si>
    <x:t xml:space="preserve">Document</x:t>
  </x:si>
  <x:si>
    <x:t xml:space="preserve">/member/holdings</x:t>
  </x:si>
  <x:si>
    <x:t xml:space="preserve">Holdings</x:t>
  </x:si>
  <x:si>
    <x:t xml:space="preserve">/member/holdings/[property]</x:t>
  </x:si>
  <x:si>
    <x:t xml:space="preserve">Holding</x:t>
  </x:si>
  <x:si>
    <x:t xml:space="preserve">/member/notifications</x:t>
  </x:si>
  <x:si>
    <x:t xml:space="preserve">Notifications</x:t>
  </x:si>
  <x:si>
    <x:t xml:space="preserve">The alert centre. A system ticker (SIGNAL_APERTURE) never lands here; only things asked of the member do.</x:t>
  </x:si>
  <x:si>
    <x:t xml:space="preserve">/member/pass</x:t>
  </x:si>
  <x:si>
    <x:t xml:space="preserve">Access Credentials</x:t>
  </x:si>
  <x:si>
    <x:t xml:space="preserve">Pass</x:t>
  </x:si>
  <x:si>
    <x:t xml:space="preserve">MEM.08. Issuing spends your nights and puts the visitor's conduct on your record.</x:t>
  </x:si>
  <x:si>
    <x:t xml:space="preserve">/member/position</x:t>
  </x:si>
  <x:si>
    <x:t xml:space="preserve">Position</x:t>
  </x:si>
  <x:si>
    <x:t xml:space="preserve">/member/profile</x:t>
  </x:si>
  <x:si>
    <x:t xml:space="preserve">Passport</x:t>
  </x:si>
  <x:si>
    <x:t xml:space="preserve">/member/reports</x:t>
  </x:si>
  <x:si>
    <x:t xml:space="preserve">Reports</x:t>
  </x:si>
  <x:si>
    <x:t xml:space="preserve">/member/resolutions</x:t>
  </x:si>
  <x:si>
    <x:t xml:space="preserve">Resolutions</x:t>
  </x:si>
  <x:si>
    <x:t xml:space="preserve">Boardroom</x:t>
  </x:si>
  <x:si>
    <x:t xml:space="preserve">/member/resolutions/[ref]</x:t>
  </x:si>
  <x:si>
    <x:t xml:space="preserve">Ballot</x:t>
  </x:si>
  <x:si>
    <x:t xml:space="preserve">AS-27</x:t>
  </x:si>
  <x:si>
    <x:t xml:space="preserve">The Ballot</x:t>
  </x:si>
  <x:si>
    <x:t xml:space="preserve">Sealed at every vantage. The confirmation never echoes the choice.</x:t>
  </x:si>
  <x:si>
    <x:t xml:space="preserve">/member/settings</x:t>
  </x:si>
  <x:si>
    <x:t xml:space="preserve">Settings</x:t>
  </x:si>
  <x:si>
    <x:t xml:space="preserve">/member/settings/notifications</x:t>
  </x:si>
  <x:si>
    <x:t xml:space="preserve">Notification Settings</x:t>
  </x:si>
  <x:si>
    <x:t xml:space="preserve">/member/settings/security</x:t>
  </x:si>
  <x:si>
    <x:t xml:space="preserve">Security</x:t>
  </x:si>
  <x:si>
    <x:t xml:space="preserve">/member/settings/tax</x:t>
  </x:si>
  <x:si>
    <x:t xml:space="preserve">Tax Details</x:t>
  </x:si>
  <x:si>
    <x:t xml:space="preserve">/member/signal</x:t>
  </x:si>
  <x:si>
    <x:t xml:space="preserve">SignalLog</x:t>
  </x:si>
  <x:si>
    <x:t xml:space="preserve">MEM.06. A written, asynchronous record with the operating partner. No presence indicator and no typing state — both promise an immediacy the queue does not have.</x:t>
  </x:si>
  <x:si>
    <x:t xml:space="preserve">/passport</x:t>
  </x:si>
  <x:si>
    <x:t xml:space="preserve">Your Passport</x:t>
  </x:si>
  <x:si>
    <x:t xml:space="preserve">The passport is how someone BECOMES a member. Requiring membership to reach it would close the only door into the system.</x:t>
  </x:si>
  <x:si>
    <x:t xml:space="preserve">/passport/accreditation</x:t>
  </x:si>
  <x:si>
    <x:t xml:space="preserve">Passport · accreditation</x:t>
  </x:si>
  <x:si>
    <x:t xml:space="preserve">Accreditation is reached before membership exists, by definition — the Member Law fires on settlement, and settlement cannot happen until accreditation has. Requiring member access here would close the only door into the system.</x:t>
  </x:si>
  <x:si>
    <x:t xml:space="preserve">/passport/address</x:t>
  </x:si>
  <x:si>
    <x:t xml:space="preserve">Passport · address</x:t>
  </x:si>
  <x:si>
    <x:t xml:space="preserve">/passport/annual-review</x:t>
  </x:si>
  <x:si>
    <x:t xml:space="preserve">Passport · annual review</x:t>
  </x:si>
  <x:si>
    <x:t xml:space="preserve">/passport/decision</x:t>
  </x:si>
  <x:si>
    <x:t xml:space="preserve">Passport · decision</x:t>
  </x:si>
  <x:si>
    <x:t xml:space="preserve">/passport/discover</x:t>
  </x:si>
  <x:si>
    <x:t xml:space="preserve">Passport · discover</x:t>
  </x:si>
  <x:si>
    <x:t xml:space="preserve">Stage 1 of 16. Resumable — each field autosaves on blur to a draft record, which is what makes PR-01 genuinely resumable rather than a second mechanism.</x:t>
  </x:si>
  <x:si>
    <x:t xml:space="preserve">/passport/documents</x:t>
  </x:si>
  <x:si>
    <x:t xml:space="preserve">Passport · documents</x:t>
  </x:si>
  <x:si>
    <x:t xml:space="preserve">/passport/eligibility</x:t>
  </x:si>
  <x:si>
    <x:t xml:space="preserve">Passport · eligibility</x:t>
  </x:si>
  <x:si>
    <x:t xml:space="preserve">/passport/identity</x:t>
  </x:si>
  <x:si>
    <x:t xml:space="preserve">Passport · identity</x:t>
  </x:si>
  <x:si>
    <x:t xml:space="preserve">/passport/issued</x:t>
  </x:si>
  <x:si>
    <x:t xml:space="preserve">Passport · issued</x:t>
  </x:si>
  <x:si>
    <x:t xml:space="preserve">/passport/profile</x:t>
  </x:si>
  <x:si>
    <x:t xml:space="preserve">Passport · profile</x:t>
  </x:si>
  <x:si>
    <x:t xml:space="preserve">/passport/review</x:t>
  </x:si>
  <x:si>
    <x:t xml:space="preserve">Passport · review</x:t>
  </x:si>
  <x:si>
    <x:t xml:space="preserve">/passport/risk-profile</x:t>
  </x:si>
  <x:si>
    <x:t xml:space="preserve">Passport · risk profile</x:t>
  </x:si>
  <x:si>
    <x:t xml:space="preserve">/passport/screening</x:t>
  </x:si>
  <x:si>
    <x:t xml:space="preserve">Passport · screening</x:t>
  </x:si>
  <x:si>
    <x:t xml:space="preserve">/passport/source-of-funds</x:t>
  </x:si>
  <x:si>
    <x:t xml:space="preserve">Passport · source of funds</x:t>
  </x:si>
  <x:si>
    <x:t xml:space="preserve">/passport/suitability</x:t>
  </x:si>
  <x:si>
    <x:t xml:space="preserve">Passport · suitability</x:t>
  </x:si>
  <x:si>
    <x:t xml:space="preserve">/passport/tax-residency</x:t>
  </x:si>
  <x:si>
    <x:t xml:space="preserve">Passport · tax residency</x:t>
  </x:si>
  <x:si>
    <x:t xml:space="preserve">/admin</x:t>
  </x:si>
  <x:si>
    <x:t xml:space="preserve">Administration</x:t>
  </x:si>
  <x:si>
    <x:t xml:space="preserve">organization.register</x:t>
  </x:si>
  <x:si>
    <x:t xml:space="preserve">/admin/authority</x:t>
  </x:si>
  <x:si>
    <x:t xml:space="preserve">Authority</x:t>
  </x:si>
  <x:si>
    <x:t xml:space="preserve">authority.grant</x:t>
  </x:si>
  <x:si>
    <x:t xml:space="preserve">/admin/authority/grants</x:t>
  </x:si>
  <x:si>
    <x:t xml:space="preserve">Grants</x:t>
  </x:si>
  <x:si>
    <x:t xml:space="preserve">/admin/authority/revocations</x:t>
  </x:si>
  <x:si>
    <x:t xml:space="preserve">Revocations</x:t>
  </x:si>
  <x:si>
    <x:t xml:space="preserve">authority.revoke</x:t>
  </x:si>
  <x:si>
    <x:t xml:space="preserve">/admin/compliance</x:t>
  </x:si>
  <x:si>
    <x:t xml:space="preserve">Compliance</x:t>
  </x:si>
  <x:si>
    <x:t xml:space="preserve">/admin/compliance/accreditation</x:t>
  </x:si>
  <x:si>
    <x:t xml:space="preserve">Accreditation Queue</x:t>
  </x:si>
  <x:si>
    <x:t xml:space="preserve">accreditation.grant</x:t>
  </x:si>
  <x:si>
    <x:t xml:space="preserve">/admin/compliance/conflicts</x:t>
  </x:si>
  <x:si>
    <x:t xml:space="preserve">Conflict Register</x:t>
  </x:si>
  <x:si>
    <x:t xml:space="preserve">conflict.disclose</x:t>
  </x:si>
  <x:si>
    <x:t xml:space="preserve">/admin/compliance/events</x:t>
  </x:si>
  <x:si>
    <x:t xml:space="preserve">Compliance Events</x:t>
  </x:si>
  <x:si>
    <x:t xml:space="preserve">/admin/content</x:t>
  </x:si>
  <x:si>
    <x:t xml:space="preserve">Content</x:t>
  </x:si>
  <x:si>
    <x:t xml:space="preserve">AS-34</x:t>
  </x:si>
  <x:si>
    <x:t xml:space="preserve">The Admin Surface</x:t>
  </x:si>
  <x:si>
    <x:t xml:space="preserve">ContentAdmin</x:t>
  </x:si>
  <x:si>
    <x:t xml:space="preserve">adminpages</x:t>
  </x:si>
  <x:si>
    <x:t xml:space="preserve">content.publish</x:t>
  </x:si>
  <x:si>
    <x:t xml:space="preserve">Every content class, its source, whether it binds and whether it is versioned.</x:t>
  </x:si>
  <x:si>
    <x:t xml:space="preserve">/admin/failure</x:t>
  </x:si>
  <x:si>
    <x:t xml:space="preserve">Constitutional Failure</x:t>
  </x:si>
  <x:si>
    <x:t xml:space="preserve">constitutional_failure.declare</x:t>
  </x:si>
  <x:si>
    <x:t xml:space="preserve">CF-01..CF-06. The gravest surface in the system and the least used. Declaring a failure requires a resolution reference, not a role — there is no login that can do this alone.</x:t>
  </x:si>
  <x:si>
    <x:t xml:space="preserve">/admin/governance</x:t>
  </x:si>
  <x:si>
    <x:t xml:space="preserve">Governance</x:t>
  </x:si>
  <x:si>
    <x:t xml:space="preserve">resolution.table</x:t>
  </x:si>
  <x:si>
    <x:t xml:space="preserve">/admin/governance/committees</x:t>
  </x:si>
  <x:si>
    <x:t xml:space="preserve">Committees</x:t>
  </x:si>
  <x:si>
    <x:t xml:space="preserve">committee.constitute</x:t>
  </x:si>
  <x:si>
    <x:t xml:space="preserve">/admin/governance/policies</x:t>
  </x:si>
  <x:si>
    <x:t xml:space="preserve">Policies</x:t>
  </x:si>
  <x:si>
    <x:t xml:space="preserve">policy.approve</x:t>
  </x:si>
  <x:si>
    <x:t xml:space="preserve">/admin/governance/resolutions</x:t>
  </x:si>
  <x:si>
    <x:t xml:space="preserve">/admin/governance/resolutions/[ref]</x:t>
  </x:si>
  <x:si>
    <x:t xml:space="preserve">Resolution</x:t>
  </x:si>
  <x:si>
    <x:t xml:space="preserve">resolution.resolve</x:t>
  </x:si>
  <x:si>
    <x:t xml:space="preserve">Results only. Admin is NOT an exception to I-05 — it is the vantage most likely to assume it is.</x:t>
  </x:si>
  <x:si>
    <x:t xml:space="preserve">/admin/ledger</x:t>
  </x:si>
  <x:si>
    <x:t xml:space="preserve">Ledger</x:t>
  </x:si>
  <x:si>
    <x:t xml:space="preserve">capital.deploy</x:t>
  </x:si>
  <x:si>
    <x:t xml:space="preserve">/admin/media</x:t>
  </x:si>
  <x:si>
    <x:t xml:space="preserve">Media</x:t>
  </x:si>
  <x:si>
    <x:t xml:space="preserve">MediaAdmin</x:t>
  </x:si>
  <x:si>
    <x:t xml:space="preserve">media.manage</x:t>
  </x:si>
  <x:si>
    <x:t xml:space="preserve">Three kinds, required at registration with no default. A render registered as a photograph is a misrepresentation that needs no words.</x:t>
  </x:si>
  <x:si>
    <x:t xml:space="preserve">/admin/reports</x:t>
  </x:si>
  <x:si>
    <x:t xml:space="preserve">report.publish</x:t>
  </x:si>
  <x:si>
    <x:t xml:space="preserve">/admin/research</x:t>
  </x:si>
  <x:si>
    <x:t xml:space="preserve">Research</x:t>
  </x:si>
  <x:si>
    <x:t xml:space="preserve">diligence.complete</x:t>
  </x:si>
  <x:si>
    <x:t xml:space="preserve">/admin/telemetry</x:t>
  </x:si>
  <x:si>
    <x:t xml:space="preserve">Telemetry</x:t>
  </x:si>
  <x:si>
    <x:t xml:space="preserve">/admin/vehicles</x:t>
  </x:si>
  <x:si>
    <x:t xml:space="preserve">Vehicles</x:t>
  </x:si>
  <x:si>
    <x:t xml:space="preserve">AS-13</x:t>
  </x:si>
  <x:si>
    <x:t xml:space="preserve">The LLP Docket</x:t>
  </x:si>
  <x:si>
    <x:t xml:space="preserve">vehicle.form</x:t>
  </x:si>
  <x:si>
    <x:t xml:space="preserve">/admin/vehicles/[llpin]</x:t>
  </x:si>
  <x:si>
    <x:t xml:space="preserve">Docket</x:t>
  </x:si>
  <x:si>
    <x:t xml:space="preserve">llpin</x:t>
  </x:si>
  <x:si>
    <x:t xml:space="preserve">/admin/vehicles/[llpin]/audit</x:t>
  </x:si>
  <x:si>
    <x:t xml:space="preserve">Docket Audit</x:t>
  </x:si>
  <x:si>
    <x:t xml:space="preserve">/admin/vehicles/[llpin]/charges</x:t>
  </x:si>
  <x:si>
    <x:t xml:space="preserve">Charges</x:t>
  </x:si>
  <x:si>
    <x:t xml:space="preserve">/admin/vehicles/[llpin]/filings</x:t>
  </x:si>
  <x:si>
    <x:t xml:space="preserve">Statutory Calendar</x:t>
  </x:si>
  <x:si>
    <x:t xml:space="preserve">/admin/vehicles/[llpin]/formation</x:t>
  </x:si>
  <x:si>
    <x:t xml:space="preserve">Formation</x:t>
  </x:si>
  <x:si>
    <x:t xml:space="preserve">/admin/vehicles/[llpin]/partners</x:t>
  </x:si>
  <x:si>
    <x:t xml:space="preserve">Register of Partners</x:t>
  </x:si>
  <x:si>
    <x:t xml:space="preserve">/admin/vehicles/[llpin]/resolutions</x:t>
  </x:si>
  <x:si>
    <x:t xml:space="preserve">/admin/vehicles/new</x:t>
  </x:si>
  <x:si>
    <x:t xml:space="preserve">Form a Vehicle</x:t>
  </x:si>
  <x:si>
    <x:t xml:space="preserve">VehicleFormation</x:t>
  </x:si>
  <x:si>
    <x:t xml:space="preserve">Eight stages. Two irreversible, two gated on Board approval. §24a: the LLP is the default and any other legal form needs a resolution naming the specific property.</x:t>
  </x:si>
  <x:si>
    <x:t xml:space="preserve">Pop-ups, Modals &amp; Dialogs</x:t>
  </x:si>
  <x:si>
    <x:t xml:space="preserve">Two are built. The rest are proposed — read the Source column before treating any row as agreed. Every modal in this system closes on Escape AND on the backdrop, and its close control says Close, never Agree: a dialog whose only exit is 'I agree' collects consent from people trying to get rid of it.</x:t>
  </x:si>
  <x:si>
    <x:t xml:space="preserve">ID</x:t>
  </x:si>
  <x:si>
    <x:t xml:space="preserve">Where</x:t>
  </x:si>
  <x:si>
    <x:t xml:space="preserve">Trigger</x:t>
  </x:si>
  <x:si>
    <x:t xml:space="preserve">What it does</x:t>
  </x:si>
  <x:si>
    <x:t xml:space="preserve">Ground</x:t>
  </x:si>
  <x:si>
    <x:t xml:space="preserve">Source</x:t>
  </x:si>
  <x:si>
    <x:t xml:space="preserve">P-01</x:t>
  </x:si>
  <x:si>
    <x:t xml:space="preserve">Read the Terms and Conditions button</x:t>
  </x:si>
  <x:si>
    <x:t xml:space="preserve">Renders the full T&amp;C document over the form. Gates the agreement checkbox — the box enables only once the document has been opened.</x:t>
  </x:si>
  <x:si>
    <x:t xml:space="preserve">Paper</x:t>
  </x:si>
  <x:si>
    <x:t xml:space="preserve">Code</x:t>
  </x:si>
  <x:si>
    <x:t xml:space="preserve">app/_assemblies/flow.tsx:577. Opens IN PLACE rather than linking away: a link loses the half-filled application. Does NOT require scrolling to the end — scroll position is not reading, and a keyboard user never fires a scroll handler.</x:t>
  </x:si>
  <x:si>
    <x:t xml:space="preserve">P-02</x:t>
  </x:si>
  <x:si>
    <x:t xml:space="preserve">Click a frame</x:t>
  </x:si>
  <x:si>
    <x:t xml:space="preserve">Lightbox. Arrow keys step, Escape closes, close control always visible.</x:t>
  </x:si>
  <x:si>
    <x:t xml:space="preserve">Void</x:t>
  </x:si>
  <x:si>
    <x:t xml:space="preserve">app/_assemblies/gatewaypages.tsx:229. Close is never hover-revealed and never in a vanishing corner.</x:t>
  </x:si>
  <x:si>
    <x:t xml:space="preserve">P-03</x:t>
  </x:si>
  <x:si>
    <x:t xml:space="preserve">All pages</x:t>
  </x:si>
  <x:si>
    <x:t xml:space="preserve">First visit</x:t>
  </x:si>
  <x:si>
    <x:t xml:space="preserve">Cookie / consent banner.</x:t>
  </x:si>
  <x:si>
    <x:t xml:space="preserve">Proposed</x:t>
  </x:si>
  <x:si>
    <x:t xml:space="preserve">/legal/cookies exists as a document with no banner in front of it. REQUIRED for DPDP and GDPR if you take EU traffic. Must default to declining non-essential.</x:t>
  </x:si>
  <x:si>
    <x:t xml:space="preserve">P-04</x:t>
  </x:si>
  <x:si>
    <x:t xml:space="preserve">Navigating away mid-form</x:t>
  </x:si>
  <x:si>
    <x:t xml:space="preserve">Unsaved-changes guard.</x:t>
  </x:si>
  <x:si>
    <x:t xml:space="preserve">The form autosaves on blur, so this is lower risk than usual — but a half-finished PAN field is lost on a back button today.</x:t>
  </x:si>
  <x:si>
    <x:t xml:space="preserve">P-05</x:t>
  </x:si>
  <x:si>
    <x:t xml:space="preserve">Any authenticated surface</x:t>
  </x:si>
  <x:si>
    <x:t xml:space="preserve">Session nearing expiry</x:t>
  </x:si>
  <x:si>
    <x:t xml:space="preserve">Session-expiry warning with an extend control.</x:t>
  </x:si>
  <x:si>
    <x:t xml:space="preserve">Blocked: no authentication exists. Build with Clerk, not before.</x:t>
  </x:si>
  <x:si>
    <x:t xml:space="preserve">P-06</x:t>
  </x:si>
  <x:si>
    <x:t xml:space="preserve">Cast a vote</x:t>
  </x:si>
  <x:si>
    <x:t xml:space="preserve">Vote confirmation. Contribution-weighted, irreversible, and states the weight being cast.</x:t>
  </x:si>
  <x:si>
    <x:t xml:space="preserve">A vote is irreversible under §24a. It needs the same deliberation treatment as the commitment piston, not an OK button.</x:t>
  </x:si>
  <x:si>
    <x:t xml:space="preserve">P-07</x:t>
  </x:si>
  <x:si>
    <x:t xml:space="preserve">Upload</x:t>
  </x:si>
  <x:si>
    <x:t xml:space="preserve">File picker with type, dimension and licence capture.</x:t>
  </x:si>
  <x:si>
    <x:t xml:space="preserve">The media admin surface is built; the upload path is not. Blocked on Vercel Blob.</x:t>
  </x:si>
  <x:si>
    <x:t xml:space="preserve">P-08</x:t>
  </x:si>
  <x:si>
    <x:t xml:space="preserve">Submit formation</x:t>
  </x:si>
  <x:si>
    <x:t xml:space="preserve">Confirm-before-create for a new LLP.</x:t>
  </x:si>
  <x:si>
    <x:t xml:space="preserve">Creates a constitutional entity. Should require a resolution reference, not a click.</x:t>
  </x:si>
  <x:si>
    <x:t xml:space="preserve">P-09</x:t>
  </x:si>
  <x:si>
    <x:t xml:space="preserve">Global</x:t>
  </x:si>
  <x:si>
    <x:t xml:space="preserve">A destructive admin action</x:t>
  </x:si>
  <x:si>
    <x:t xml:space="preserve">Confirm-destructive dialog. Types the object name to confirm.</x:t>
  </x:si>
  <x:si>
    <x:t xml:space="preserve">No destructive admin action is wired yet, so nothing is at risk today.</x:t>
  </x:si>
  <x:si>
    <x:t xml:space="preserve">P-10</x:t>
  </x:si>
  <x:si>
    <x:t xml:space="preserve">—</x:t>
  </x:si>
  <x:si>
    <x:t xml:space="preserve">NONE, deliberately.</x:t>
  </x:si>
  <x:si>
    <x:t xml:space="preserve">N/A</x:t>
  </x:si>
  <x:si>
    <x:t xml:space="preserve">The commitment is a 3-second sustained press (the piston), not a dialog. The duration IS the deliberation. A confirm dialog after a hold would be two confirmations, which trains people to dismiss both.</x:t>
  </x:si>
  <x:si>
    <x:t xml:space="preserve">In-Product Notifications</x:t>
  </x:si>
  <x:si>
    <x:t xml:space="preserve">Two routes exist to HOLD notifications; no notification is generated by anything. Every row below is Proposed unless marked otherwise. The trigger column names the event — a notification without a named event is a notification nobody can test.</x:t>
  </x:si>
  <x:si>
    <x:t xml:space="preserve">Event that fires it</x:t>
  </x:si>
  <x:si>
    <x:t xml:space="preserve">Message</x:t>
  </x:si>
  <x:si>
    <x:t xml:space="preserve">Audience</x:t>
  </x:si>
  <x:si>
    <x:t xml:space="preserve">Urgency</x:t>
  </x:si>
  <x:si>
    <x:t xml:space="preserve">Where it lands</x:t>
  </x:si>
  <x:si>
    <x:t xml:space="preserve">N-00</x:t>
  </x:si>
  <x:si>
    <x:t xml:space="preserve">(the surfaces that hold them)</x:t>
  </x:si>
  <x:si>
    <x:t xml:space="preserve">Member</x:t>
  </x:si>
  <x:si>
    <x:t xml:space="preserve">/member/notifications, /member/settings/notifications</x:t>
  </x:si>
  <x:si>
    <x:t xml:space="preserve">Both routes exist and render the registry Surface. Nothing writes to them.</x:t>
  </x:si>
  <x:si>
    <x:t xml:space="preserve">N-01</x:t>
  </x:si>
  <x:si>
    <x:t xml:space="preserve">Accreditation submitted</x:t>
  </x:si>
  <x:si>
    <x:t xml:space="preserve">Application received. A decision follows within 15 working days.</x:t>
  </x:si>
  <x:si>
    <x:t xml:space="preserve">Applicant</x:t>
  </x:si>
  <x:si>
    <x:t xml:space="preserve">Normal</x:t>
  </x:si>
  <x:si>
    <x:t xml:space="preserve">Email + in-product</x:t>
  </x:si>
  <x:si>
    <x:t xml:space="preserve">PR-01 states the window; nothing currently confirms receipt.</x:t>
  </x:si>
  <x:si>
    <x:t xml:space="preserve">N-02</x:t>
  </x:si>
  <x:si>
    <x:t xml:space="preserve">Accreditation decided</x:t>
  </x:si>
  <x:si>
    <x:t xml:space="preserve">Accreditation approved / declined, with the reason.</x:t>
  </x:si>
  <x:si>
    <x:t xml:space="preserve">High</x:t>
  </x:si>
  <x:si>
    <x:t xml:space="preserve">A decline must state a reason and a route to appeal.</x:t>
  </x:si>
  <x:si>
    <x:t xml:space="preserve">N-03</x:t>
  </x:si>
  <x:si>
    <x:t xml:space="preserve">Deposit received</x:t>
  </x:si>
  <x:si>
    <x:t xml:space="preserve">₹50,000 received. It holds your position; it does not make you a partner.</x:t>
  </x:si>
  <x:si>
    <x:t xml:space="preserve">Investor</x:t>
  </x:si>
  <x:si>
    <x:t xml:space="preserve">Must repeat the Member Law. The commonest misreading of a deposit is that it completes the purchase.</x:t>
  </x:si>
  <x:si>
    <x:t xml:space="preserve">N-04</x:t>
  </x:si>
  <x:si>
    <x:t xml:space="preserve">Completion window opening</x:t>
  </x:si>
  <x:si>
    <x:t xml:space="preserve">Balance and Vehicle Agreement due within 15 working days.</x:t>
  </x:si>
  <x:si>
    <x:t xml:space="preserve">Email</x:t>
  </x:si>
  <x:si>
    <x:t xml:space="preserve">Needs a countdown, and a second at T-3 days.</x:t>
  </x:si>
  <x:si>
    <x:t xml:space="preserve">N-05</x:t>
  </x:si>
  <x:si>
    <x:t xml:space="preserve">SETTLEMENT</x:t>
  </x:si>
  <x:si>
    <x:t xml:space="preserve">You are a Member of &lt;vehicle&gt;. Entitlement and governance rights begin now.</x:t>
  </x:si>
  <x:si>
    <x:t xml:space="preserve">Critical</x:t>
  </x:si>
  <x:si>
    <x:t xml:space="preserve">THE MEMBER LAW (I-08) fires here and only here. This is the single most important notification in the system and it is irreversible.</x:t>
  </x:si>
  <x:si>
    <x:t xml:space="preserve">N-06</x:t>
  </x:si>
  <x:si>
    <x:t xml:space="preserve">Resolution opened</x:t>
  </x:si>
  <x:si>
    <x:t xml:space="preserve">A resolution is open for your vote. Threshold: ordinary / special. Closes &lt;date&gt;.</x:t>
  </x:si>
  <x:si>
    <x:t xml:space="preserve">Must state the threshold and the voting weight, per §24a.</x:t>
  </x:si>
  <x:si>
    <x:t xml:space="preserve">N-07</x:t>
  </x:si>
  <x:si>
    <x:t xml:space="preserve">Resolution closing</x:t>
  </x:si>
  <x:si>
    <x:t xml:space="preserve">Your vote has not been cast. Voting closes in 48 hours.</x:t>
  </x:si>
  <x:si>
    <x:t xml:space="preserve">A tie is NOT approval, so an uncast vote has a real consequence and the reminder must say so.</x:t>
  </x:si>
  <x:si>
    <x:t xml:space="preserve">N-08</x:t>
  </x:si>
  <x:si>
    <x:t xml:space="preserve">Resolution decided</x:t>
  </x:si>
  <x:si>
    <x:t xml:space="preserve">Outcome, the count, and the threshold it met.</x:t>
  </x:si>
  <x:si>
    <x:t xml:space="preserve">ADR-0008: secret ballot, transparent outcome. Publish the tally, never who voted how.</x:t>
  </x:si>
  <x:si>
    <x:t xml:space="preserve">N-09</x:t>
  </x:si>
  <x:si>
    <x:t xml:space="preserve">Distribution declared</x:t>
  </x:si>
  <x:si>
    <x:t xml:space="preserve">&lt;amount&gt; declared for the period ending &lt;date&gt;.</x:t>
  </x:si>
  <x:si>
    <x:t xml:space="preserve">Must carry a confidence class like every other figure.</x:t>
  </x:si>
  <x:si>
    <x:t xml:space="preserve">N-10</x:t>
  </x:si>
  <x:si>
    <x:t xml:space="preserve">Distribution paid</x:t>
  </x:si>
  <x:si>
    <x:t xml:space="preserve">&lt;amount&gt; paid to the account ending &lt;n&gt;.</x:t>
  </x:si>
  <x:si>
    <x:t xml:space="preserve">N-11</x:t>
  </x:si>
  <x:si>
    <x:t xml:space="preserve">Distribution BLOCKED</x:t>
  </x:si>
  <x:si>
    <x:t xml:space="preserve">No distribution this period. Stage six does not run if the reserve would fall below its floor.</x:t>
  </x:si>
  <x:si>
    <x:t xml:space="preserve">Silence here reads as an error. A profitable period with no distribution is normal and must be explained when it happens, not in a FAQ.</x:t>
  </x:si>
  <x:si>
    <x:t xml:space="preserve">N-12</x:t>
  </x:si>
  <x:si>
    <x:t xml:space="preserve">Entitlement opens</x:t>
  </x:si>
  <x:si>
    <x:t xml:space="preserve">Your &lt;n&gt; nights for &lt;year&gt; are now drawable.</x:t>
  </x:si>
  <x:si>
    <x:t xml:space="preserve">In-product</x:t>
  </x:si>
  <x:si>
    <x:t xml:space="preserve">Not before handover — nothing is drawable against an unbuilt asset.</x:t>
  </x:si>
  <x:si>
    <x:t xml:space="preserve">N-13</x:t>
  </x:si>
  <x:si>
    <x:t xml:space="preserve">Entitlement expiring</x:t>
  </x:si>
  <x:si>
    <x:t xml:space="preserve">&lt;n&gt; nights lapse on &lt;date&gt;.</x:t>
  </x:si>
  <x:si>
    <x:t xml:space="preserve">Needs a stated lapse policy first — see Decisions D-07.</x:t>
  </x:si>
  <x:si>
    <x:t xml:space="preserve">N-14</x:t>
  </x:si>
  <x:si>
    <x:t xml:space="preserve">Document version changed</x:t>
  </x:si>
  <x:si>
    <x:t xml:space="preserve">&lt;document&gt; is now v&lt;n&gt;. What changed: &lt;summary&gt;.</x:t>
  </x:si>
  <x:si>
    <x:t xml:space="preserve">A binding document changing under someone silently is the failure mode. Must link the diff.</x:t>
  </x:si>
  <x:si>
    <x:t xml:space="preserve">N-15</x:t>
  </x:si>
  <x:si>
    <x:t xml:space="preserve">Covenant proximity</x:t>
  </x:si>
  <x:si>
    <x:t xml:space="preserve">DSCR approaching the covenant threshold.</x:t>
  </x:si>
  <x:si>
    <x:t xml:space="preserve">Office</x:t>
  </x:si>
  <x:si>
    <x:t xml:space="preserve">Office vantage only. Never shown at member vantage without Board sign-off on the wording.</x:t>
  </x:si>
  <x:si>
    <x:t xml:space="preserve">N-16</x:t>
  </x:si>
  <x:si>
    <x:t xml:space="preserve">Valuation published</x:t>
  </x:si>
  <x:si>
    <x:t xml:space="preserve">&lt;property&gt; revalued to &lt;amount&gt; by &lt;source&gt;.</x:t>
  </x:si>
  <x:si>
    <x:t xml:space="preserve">Must name the source and its confidence class; a management estimate is not an appraisal.</x:t>
  </x:si>
  <x:si>
    <x:t xml:space="preserve">N-17</x:t>
  </x:si>
  <x:si>
    <x:t xml:space="preserve">Lead captured</x:t>
  </x:si>
  <x:si>
    <x:t xml:space="preserve">A signal / dossier request arrived.</x:t>
  </x:si>
  <x:si>
    <x:t xml:space="preserve">Low</x:t>
  </x:si>
  <x:si>
    <x:t xml:space="preserve">Live</x:t>
  </x:si>
  <x:si>
    <x:t xml:space="preserve">The only notification that actually fires today. app/api/signal, app/api/dossier → lib/leads.ts.</x:t>
  </x:si>
  <x:si>
    <x:t xml:space="preserve">Transactional Email</x:t>
  </x:si>
  <x:si>
    <x:t xml:space="preserve">Two endpoints are live via Resend; both return 503 without RESEND_API_KEY and the page says so rather than showing a false success. Everything else is proposed. No template system, no unsubscribe handling and no verified sending domain exists yet.</x:t>
  </x:si>
  <x:si>
    <x:t xml:space="preserve">To</x:t>
  </x:si>
  <x:si>
    <x:t xml:space="preserve">Subject / purpose</x:t>
  </x:si>
  <x:si>
    <x:t xml:space="preserve">Type</x:t>
  </x:si>
  <x:si>
    <x:t xml:space="preserve">Template</x:t>
  </x:si>
  <x:si>
    <x:t xml:space="preserve">E-01</x:t>
  </x:si>
  <x:si>
    <x:t xml:space="preserve">/signal form submit</x:t>
  </x:si>
  <x:si>
    <x:t xml:space="preserve">SIGNAL_LEAD_EMAIL</x:t>
  </x:si>
  <x:si>
    <x:t xml:space="preserve">New Signal subscriber</x:t>
  </x:si>
  <x:si>
    <x:t xml:space="preserve">Internal</x:t>
  </x:si>
  <x:si>
    <x:t xml:space="preserve">Plain text</x:t>
  </x:si>
  <x:si>
    <x:t xml:space="preserve">lib/leads.ts. Returns 503 when unconfigured; the form renders an honest failure with a mailto fallback.</x:t>
  </x:si>
  <x:si>
    <x:t xml:space="preserve">E-02</x:t>
  </x:si>
  <x:si>
    <x:t xml:space="preserve">/communique/request submit</x:t>
  </x:si>
  <x:si>
    <x:t xml:space="preserve">DOSSIER_LEAD_EMAIL</x:t>
  </x:si>
  <x:si>
    <x:t xml:space="preserve">New dossier request</x:t>
  </x:si>
  <x:si>
    <x:t xml:space="preserve">Same path. 400 on invalid input, 503 on unconfigured.</x:t>
  </x:si>
  <x:si>
    <x:t xml:space="preserve">E-03</x:t>
  </x:si>
  <x:si>
    <x:t xml:space="preserve">Signal form submit</x:t>
  </x:si>
  <x:si>
    <x:t xml:space="preserve">The subscriber</x:t>
  </x:si>
  <x:si>
    <x:t xml:space="preserve">Confirm the subscription (double opt-in)</x:t>
  </x:si>
  <x:si>
    <x:t xml:space="preserve">Outbound</x:t>
  </x:si>
  <x:si>
    <x:t xml:space="preserve">REQUIRED. Today you capture an address and send that person nothing — no confirmation and no way to unsubscribe. This is a compliance gap, not a nicety.</x:t>
  </x:si>
  <x:si>
    <x:t xml:space="preserve">E-04</x:t>
  </x:si>
  <x:si>
    <x:t xml:space="preserve">Dossier request</x:t>
  </x:si>
  <x:si>
    <x:t xml:space="preserve">The requester</x:t>
  </x:si>
  <x:si>
    <x:t xml:space="preserve">The dossier itself</x:t>
  </x:si>
  <x:si>
    <x:t xml:space="preserve">The form promises an intelligence pack. Nothing sends one. See Assets A-20.</x:t>
  </x:si>
  <x:si>
    <x:t xml:space="preserve">E-05</x:t>
  </x:si>
  <x:si>
    <x:t xml:space="preserve">Sign-up</x:t>
  </x:si>
  <x:si>
    <x:t xml:space="preserve">New account</x:t>
  </x:si>
  <x:si>
    <x:t xml:space="preserve">Verify your email address</x:t>
  </x:si>
  <x:si>
    <x:t xml:space="preserve">Blocked on Clerk, which handles this natively.</x:t>
  </x:si>
  <x:si>
    <x:t xml:space="preserve">E-06</x:t>
  </x:si>
  <x:si>
    <x:t xml:space="preserve">Application received · 15 working days</x:t>
  </x:si>
  <x:si>
    <x:t xml:space="preserve">Pairs with N-01.</x:t>
  </x:si>
  <x:si>
    <x:t xml:space="preserve">E-07</x:t>
  </x:si>
  <x:si>
    <x:t xml:space="preserve">Decision, with reason</x:t>
  </x:si>
  <x:si>
    <x:t xml:space="preserve">Pairs with N-02.</x:t>
  </x:si>
  <x:si>
    <x:t xml:space="preserve">E-08</x:t>
  </x:si>
  <x:si>
    <x:t xml:space="preserve">₹50,000 received · what it does and does not do</x:t>
  </x:si>
  <x:si>
    <x:t xml:space="preserve">Must state that a deposit makes nobody a partner.</x:t>
  </x:si>
  <x:si>
    <x:t xml:space="preserve">E-09</x:t>
  </x:si>
  <x:si>
    <x:t xml:space="preserve">Payment receipt (GST-compliant)</x:t>
  </x:si>
  <x:si>
    <x:t xml:space="preserve">Tax-document requirements unconfirmed — see Decisions D-05.</x:t>
  </x:si>
  <x:si>
    <x:t xml:space="preserve">E-10</x:t>
  </x:si>
  <x:si>
    <x:t xml:space="preserve">Settlement</x:t>
  </x:si>
  <x:si>
    <x:t xml:space="preserve">You are a Member of &lt;vehicle&gt;</x:t>
  </x:si>
  <x:si>
    <x:t xml:space="preserve">THE MEMBER LAW. Should carry the Vehicle Agreement and the register entry as attachments.</x:t>
  </x:si>
  <x:si>
    <x:t xml:space="preserve">E-11</x:t>
  </x:si>
  <x:si>
    <x:t xml:space="preserve">Members</x:t>
  </x:si>
  <x:si>
    <x:t xml:space="preserve">A resolution is open · closes &lt;date&gt;</x:t>
  </x:si>
  <x:si>
    <x:t xml:space="preserve">E-12</x:t>
  </x:si>
  <x:si>
    <x:t xml:space="preserve">Non-voters</x:t>
  </x:si>
  <x:si>
    <x:t xml:space="preserve">Voting closes in 48 hours</x:t>
  </x:si>
  <x:si>
    <x:t xml:space="preserve">E-13</x:t>
  </x:si>
  <x:si>
    <x:t xml:space="preserve">Outcome and tally</x:t>
  </x:si>
  <x:si>
    <x:t xml:space="preserve">Tally yes; individual votes never.</x:t>
  </x:si>
  <x:si>
    <x:t xml:space="preserve">E-14</x:t>
  </x:si>
  <x:si>
    <x:t xml:space="preserve">Distribution statement</x:t>
  </x:si>
  <x:si>
    <x:t xml:space="preserve">Needs a PDF generator — none exists.</x:t>
  </x:si>
  <x:si>
    <x:t xml:space="preserve">E-15</x:t>
  </x:si>
  <x:si>
    <x:t xml:space="preserve">Quarterly</x:t>
  </x:si>
  <x:si>
    <x:t xml:space="preserve">Vehicle report</x:t>
  </x:si>
  <x:si>
    <x:t xml:space="preserve">Cadence and content not agreed — Decisions D-08.</x:t>
  </x:si>
  <x:si>
    <x:t xml:space="preserve">E-16</x:t>
  </x:si>
  <x:si>
    <x:t xml:space="preserve">Document version change</x:t>
  </x:si>
  <x:si>
    <x:t xml:space="preserve">&lt;document&gt; updated to v&lt;n&gt;</x:t>
  </x:si>
  <x:si>
    <x:t xml:space="preserve">Legally significant. Must link the diff, not just announce it.</x:t>
  </x:si>
  <x:si>
    <x:t xml:space="preserve">E-17</x:t>
  </x:si>
  <x:si>
    <x:t xml:space="preserve">Weekly</x:t>
  </x:si>
  <x:si>
    <x:t xml:space="preserve">Signal subscribers</x:t>
  </x:si>
  <x:si>
    <x:t xml:space="preserve">Marketing</x:t>
  </x:si>
  <x:si>
    <x:t xml:space="preserve">Needs unsubscribe, preference centre and a verified domain before a single send.</x:t>
  </x:si>
  <x:si>
    <x:t xml:space="preserve">E-18</x:t>
  </x:si>
  <x:si>
    <x:t xml:space="preserve">Password reset</x:t>
  </x:si>
  <x:si>
    <x:t xml:space="preserve">Account</x:t>
  </x:si>
  <x:si>
    <x:t xml:space="preserve">Reset your password</x:t>
  </x:si>
  <x:si>
    <x:t xml:space="preserve">Blocked on Clerk.</x:t>
  </x:si>
  <x:si>
    <x:t xml:space="preserve">Current Gaps</x:t>
  </x:si>
  <x:si>
    <x:t xml:space="preserve">What is missing, why it matters, and what it blocks. Severity is my assessment. 'Blocks launch' means I would not put the URL in front of an investor until it is closed.</x:t>
  </x:si>
  <x:si>
    <x:t xml:space="preserve">Area</x:t>
  </x:si>
  <x:si>
    <x:t xml:space="preserve">The gap</x:t>
  </x:si>
  <x:si>
    <x:t xml:space="preserve">What it blocks</x:t>
  </x:si>
  <x:si>
    <x:t xml:space="preserve">Severity</x:t>
  </x:si>
  <x:si>
    <x:t xml:space="preserve">Effort</x:t>
  </x:si>
  <x:si>
    <x:t xml:space="preserve">G-01</x:t>
  </x:si>
  <x:si>
    <x:t xml:space="preserve">~9,000 words of Terms and Risk Disclosure have never been reviewed by a lawyer.</x:t>
  </x:si>
  <x:si>
    <x:t xml:space="preserve">Any real investor traffic</x:t>
  </x:si>
  <x:si>
    <x:t xml:space="preserve">Blocks launch</x:t>
  </x:si>
  <x:si>
    <x:t xml:space="preserve">External</x:t>
  </x:si>
  <x:si>
    <x:t xml:space="preserve">Open</x:t>
  </x:si>
  <x:si>
    <x:t xml:space="preserve">content/legal.ts + slowspace.ts. Drafted to be accurate; not drafted to be relied on. This is the single largest exposure on this sheet and it is not a code problem.</x:t>
  </x:si>
  <x:si>
    <x:t xml:space="preserve">G-02</x:t>
  </x:si>
  <x:si>
    <x:t xml:space="preserve">Repository is PUBLIC, so the unreviewed copy and the LLP identifiers are world-readable.</x:t>
  </x:si>
  <x:si>
    <x:t xml:space="preserve">Minutes</x:t>
  </x:si>
  <x:si>
    <x:t xml:space="preserve">One command flips it. Raised twice; not yet actioned.</x:t>
  </x:si>
  <x:si>
    <x:t xml:space="preserve">G-03</x:t>
  </x:si>
  <x:si>
    <x:t xml:space="preserve">Entity</x:t>
  </x:si>
  <x:si>
    <x:t xml:space="preserve">SlowSpace Coastal LLP, LLPIN AAC-4471 and the Udupi registered office are modelled from a dossier, not verified against the MCA register.</x:t>
  </x:si>
  <x:si>
    <x:t xml:space="preserve">Publishing the offering</x:t>
  </x:si>
  <x:si>
    <x:t xml:space="preserve">If the entity is not incorporated with that identifier, the platform is asserting that it is.</x:t>
  </x:si>
  <x:si>
    <x:t xml:space="preserve">G-04</x:t>
  </x:si>
  <x:si>
    <x:t xml:space="preserve">Auth</x:t>
  </x:si>
  <x:si>
    <x:t xml:space="preserve">No authentication. lib/access.ts fails closed, so 63 member/office routes correctly deny everyone.</x:t>
  </x:si>
  <x:si>
    <x:t xml:space="preserve">Every member and office surface</x:t>
  </x:si>
  <x:si>
    <x:t xml:space="preserve">Large</x:t>
  </x:si>
  <x:si>
    <x:t xml:space="preserve">Deliberate and correct for an unfinished system. Clerk is chosen but not integrated.</x:t>
  </x:si>
  <x:si>
    <x:t xml:space="preserve">G-05</x:t>
  </x:si>
  <x:si>
    <x:t xml:space="preserve">Data</x:t>
  </x:si>
  <x:si>
    <x:t xml:space="preserve">No database. Every page reads static TypeScript.</x:t>
  </x:si>
  <x:si>
    <x:t xml:space="preserve">Persistence of anything</x:t>
  </x:si>
  <x:si>
    <x:t xml:space="preserve">Drizzle schema and 27 tables are generated and checked; nothing connects to Neon.</x:t>
  </x:si>
  <x:si>
    <x:t xml:space="preserve">G-06</x:t>
  </x:si>
  <x:si>
    <x:t xml:space="preserve">Payments</x:t>
  </x:si>
  <x:si>
    <x:t xml:space="preserve">No payment processor. The ₹50,000 deposit cannot be taken.</x:t>
  </x:si>
  <x:si>
    <x:t xml:space="preserve">The commitment flow</x:t>
  </x:si>
  <x:si>
    <x:t xml:space="preserve">Razorpay chosen. The piston records a state change in memory and nothing else.</x:t>
  </x:si>
  <x:si>
    <x:t xml:space="preserve">G-07</x:t>
  </x:si>
  <x:si>
    <x:t xml:space="preserve">Product</x:t>
  </x:si>
  <x:si>
    <x:t xml:space="preserve">82 of 135 routes render the registry Surface scaffold, not the product.</x:t>
  </x:si>
  <x:si>
    <x:t xml:space="preserve">Depth beyond the built paths</x:t>
  </x:si>
  <x:si>
    <x:t xml:space="preserve">See the IA sheet. 12 of these are PUBLIC and indexable — the highest-priority subset.</x:t>
  </x:si>
  <x:si>
    <x:t xml:space="preserve">G-08</x:t>
  </x:si>
  <x:si>
    <x:t xml:space="preserve">No photography exists. The gallery ships five labelled drawings.</x:t>
  </x:si>
  <x:si>
    <x:t xml:space="preserve">Every visual surface</x:t>
  </x:si>
  <x:si>
    <x:t xml:space="preserve">content/gateway.ts states this plainly rather than shipping renders as photographs. See the Assets sheet.</x:t>
  </x:si>
  <x:si>
    <x:t xml:space="preserve">G-09</x:t>
  </x:si>
  <x:si>
    <x:t xml:space="preserve">Ops</x:t>
  </x:si>
  <x:si>
    <x:t xml:space="preserve">No error tracking.</x:t>
  </x:si>
  <x:si>
    <x:t xml:space="preserve">Knowing when production breaks</x:t>
  </x:si>
  <x:si>
    <x:t xml:space="preserve">Small</x:t>
  </x:si>
  <x:si>
    <x:t xml:space="preserve">Doc</x:t>
  </x:si>
  <x:si>
    <x:t xml:space="preserve">Sentry identified as the sixth account; not opened.</x:t>
  </x:si>
  <x:si>
    <x:t xml:space="preserve">G-10</x:t>
  </x:si>
  <x:si>
    <x:t xml:space="preserve">No rate limiting on /api/signal or /api/dossier.</x:t>
  </x:si>
  <x:si>
    <x:t xml:space="preserve">Publicising the URL</x:t>
  </x:si>
  <x:si>
    <x:t xml:space="preserve">Both are public, unauthenticated and send email. Trivially abusable once the domain is known.</x:t>
  </x:si>
  <x:si>
    <x:t xml:space="preserve">G-11</x:t>
  </x:si>
  <x:si>
    <x:t xml:space="preserve">No cookie/consent banner, no unsubscribe, no double opt-in.</x:t>
  </x:si>
  <x:si>
    <x:t xml:space="preserve">EU traffic; any marketing send</x:t>
  </x:si>
  <x:si>
    <x:t xml:space="preserve">Medium</x:t>
  </x:si>
  <x:si>
    <x:t xml:space="preserve">/legal/cookies documents a policy nothing enforces.</x:t>
  </x:si>
  <x:si>
    <x:t xml:space="preserve">G-12</x:t>
  </x:si>
  <x:si>
    <x:t xml:space="preserve">No CI. npm run verify runs only via a local pre-commit hook, which --no-verify walks past.</x:t>
  </x:si>
  <x:si>
    <x:t xml:space="preserve">Confidence in main</x:t>
  </x:si>
  <x:si>
    <x:t xml:space="preserve">GitHub Actions workflow not yet added; the token scope for it exists.</x:t>
  </x:si>
  <x:si>
    <x:t xml:space="preserve">G-13</x:t>
  </x:si>
  <x:si>
    <x:t xml:space="preserve">Notifications: two routes hold them, nothing generates one.</x:t>
  </x:si>
  <x:si>
    <x:t xml:space="preserve">Every member communication</x:t>
  </x:si>
  <x:si>
    <x:t xml:space="preserve">See the Notifications sheet.</x:t>
  </x:si>
  <x:si>
    <x:t xml:space="preserve">G-14</x:t>
  </x:si>
  <x:si>
    <x:t xml:space="preserve">No PDF generation.</x:t>
  </x:si>
  <x:si>
    <x:t xml:space="preserve">Statements, receipts, the dossier</x:t>
  </x:si>
  <x:si>
    <x:t xml:space="preserve">Referenced by four proposed emails.</x:t>
  </x:si>
  <x:si>
    <x:t xml:space="preserve">G-15</x:t>
  </x:si>
  <x:si>
    <x:t xml:space="preserve">Design</x:t>
  </x:si>
  <x:si>
    <x:t xml:space="preserve">Risk categories: 8 in the design system, 10 in the registry. Six render neutral grey.</x:t>
  </x:si>
  <x:si>
    <x:t xml:space="preserve">Correct risk colour</x:t>
  </x:si>
  <x:si>
    <x:t xml:space="preserve">WAVE-5-OPEN-QUESTIONS A2. riskColour() falls back to steel and a test pins that.</x:t>
  </x:si>
  <x:si>
    <x:t xml:space="preserve">G-16</x:t>
  </x:si>
  <x:si>
    <x:t xml:space="preserve">Brand voice conflict: L1-02 says 'Warm', Addendum A says 'never persuades'.</x:t>
  </x:si>
  <x:si>
    <x:t xml:space="preserve">Consistent copy</x:t>
  </x:si>
  <x:si>
    <x:t xml:space="preserve">WAVE-5 A1. Resolved in practice toward plain and non-blaming; not written down.</x:t>
  </x:si>
  <x:si>
    <x:t xml:space="preserve">G-17</x:t>
  </x:si>
  <x:si>
    <x:t xml:space="preserve">/collective/press and /collective/gallery ship empty on purpose.</x:t>
  </x:si>
  <x:si>
    <x:t xml:space="preserve">Credibility surfaces</x:t>
  </x:si>
  <x:si>
    <x:t xml:space="preserve">The wireframe's six press clippings were quotes attributed to publications that have not published them. Empty and honest beats populated and false.</x:t>
  </x:si>
  <x:si>
    <x:t xml:space="preserve">G-18</x:t>
  </x:si>
  <x:si>
    <x:t xml:space="preserve">Vercel region pinned to bom1 for DPDP residency; plan support unverified.</x:t>
  </x:si>
  <x:si>
    <x:t xml:space="preserve">First deploy</x:t>
  </x:si>
  <x:si>
    <x:t xml:space="preserve">vercel.json. Will fail the deploy if the plan disallows region pinning.</x:t>
  </x:si>
  <x:si>
    <x:t xml:space="preserve">Decisions Awaiting You</x:t>
  </x:si>
  <x:si>
    <x:t xml:space="preserve">Each is a decision I could not make for you because it is commercial, fiduciary, legal or a matter of taste. Where I had a defensible default I applied it and said so in My Recommendation — none of those is agreed. YELLOW CELLS ARE YOURS TO FILL.</x:t>
  </x:si>
  <x:si>
    <x:t xml:space="preserve">The decision</x:t>
  </x:si>
  <x:si>
    <x:t xml:space="preserve">My recommendation</x:t>
  </x:si>
  <x:si>
    <x:t xml:space="preserve">Your decision</x:t>
  </x:si>
  <x:si>
    <x:t xml:space="preserve">Owner</x:t>
  </x:si>
  <x:si>
    <x:t xml:space="preserve">Due</x:t>
  </x:si>
  <x:si>
    <x:t xml:space="preserve">D-01</x:t>
  </x:si>
  <x:si>
    <x:t xml:space="preserve">Engage a lawyer to review the Terms and Risk Disclosure before any real traffic. Who, and when?</x:t>
  </x:si>
  <x:si>
    <x:t xml:space="preserve">Do this before the domain is public. Nothing else on this sheet costs more to get wrong.</x:t>
  </x:si>
  <x:si>
    <x:t xml:space="preserve">D-02</x:t>
  </x:si>
  <x:si>
    <x:t xml:space="preserve">Repository visibility: public or private?</x:t>
  </x:si>
  <x:si>
    <x:t xml:space="preserve">Private until D-01 closes. Search engines cannot un-crawl.</x:t>
  </x:si>
  <x:si>
    <x:t xml:space="preserve">D-03</x:t>
  </x:si>
  <x:si>
    <x:t xml:space="preserve">Confirm SlowSpace Coastal LLP is incorporated, and the real LLPIN and registered office.</x:t>
  </x:si>
  <x:si>
    <x:t xml:space="preserve">Replace with placeholders until confirmed, or confirm and keep.</x:t>
  </x:si>
  <x:si>
    <x:t xml:space="preserve">D-04</x:t>
  </x:si>
  <x:si>
    <x:t xml:space="preserve">Commercial</x:t>
  </x:si>
  <x:si>
    <x:t xml:space="preserve">Minimum unit is 5% and the ceiling 50%. Confirm both.</x:t>
  </x:si>
  <x:si>
    <x:t xml:space="preserve">Keep. 5% admits a wider register; 50% is where a partner would carry every ordinary resolution alone under §24a.</x:t>
  </x:si>
  <x:si>
    <x:t xml:space="preserve">D-05</x:t>
  </x:si>
  <x:si>
    <x:t xml:space="preserve">Finance</x:t>
  </x:si>
  <x:si>
    <x:t xml:space="preserve">Is the ₹50,000 deposit taxable on receipt, and what document must issue?</x:t>
  </x:si>
  <x:si>
    <x:t xml:space="preserve">Needs your accountant. It changes E-09 and the receipt wording.</x:t>
  </x:si>
  <x:si>
    <x:t xml:space="preserve">D-06</x:t>
  </x:si>
  <x:si>
    <x:t xml:space="preserve">Confirm the entitlement pool of 180–210 nights a year for the whole property.</x:t>
  </x:si>
  <x:si>
    <x:t xml:space="preserve">Keep. Derived so that no partition can exceed what the property can deliver.</x:t>
  </x:si>
  <x:si>
    <x:t xml:space="preserve">D-07</x:t>
  </x:si>
  <x:si>
    <x:t xml:space="preserve">Do unused nights lapse, roll over, or convert?</x:t>
  </x:si>
  <x:si>
    <x:t xml:space="preserve">Needs a policy before N-13 can be written. Lapse is simplest and the least generous; say which it is.</x:t>
  </x:si>
  <x:si>
    <x:t xml:space="preserve">D-08</x:t>
  </x:si>
  <x:si>
    <x:t xml:space="preserve">Comms</x:t>
  </x:si>
  <x:si>
    <x:t xml:space="preserve">Reporting cadence to members — quarterly, half-yearly?</x:t>
  </x:si>
  <x:si>
    <x:t xml:space="preserve">Quarterly, aligned to the distribution period.</x:t>
  </x:si>
  <x:si>
    <x:t xml:space="preserve">D-09</x:t>
  </x:si>
  <x:si>
    <x:t xml:space="preserve">Risk categories: extend the design system to 10, or map the registry's 10 onto 8?</x:t>
  </x:si>
  <x:si>
    <x:t xml:space="preserve">Map first (no amendment needed), then extend.</x:t>
  </x:si>
  <x:si>
    <x:t xml:space="preserve">D-10</x:t>
  </x:si>
  <x:si>
    <x:t xml:space="preserve">Brand</x:t>
  </x:si>
  <x:si>
    <x:t xml:space="preserve">Brand voice: does L1-02 'Warm' or Addendum A 'never persuades' govern interface copy?</x:t>
  </x:si>
  <x:si>
    <x:t xml:space="preserve">Addendum A governs interface copy; L1-02 governs member-facing narrative. Write it down.</x:t>
  </x:si>
  <x:si>
    <x:t xml:space="preserve">D-11</x:t>
  </x:si>
  <x:si>
    <x:t xml:space="preserve">ANSWERED 1 Aug 2026: the domain is getawaycollective.co (www 301s to the apex). The code now carries it. REMAINING: the domain currently serves a GoDaddy Website Builder page — DNS must be repointed to Vercel at go-live, and the builder page retired.</x:t>
  </x:si>
  <x:si>
    <x:t xml:space="preserve">Set NEXT_PUBLIC_SITE_URL=https://getawaycollective.co in Vercel. Decide the cutover moment: repointing DNS replaces the current GoDaddy page immediately.</x:t>
  </x:si>
  <x:si>
    <x:t xml:space="preserve">D-12</x:t>
  </x:si>
  <x:si>
    <x:t xml:space="preserve">Confirm the Vercel plan supports region pinning to bom1.</x:t>
  </x:si>
  <x:si>
    <x:t xml:space="preserve">Needed for the DPDP residency claim. If not, either upgrade or drop the claim — do not keep the claim without the pinning.</x:t>
  </x:si>
  <x:si>
    <x:t xml:space="preserve">D-13</x:t>
  </x:si>
  <x:si>
    <x:t xml:space="preserve">Open a Sentry account (the sixth).</x:t>
  </x:si>
  <x:si>
    <x:t xml:space="preserve">Yes, before launch. Silent production failures are the worst kind.</x:t>
  </x:si>
  <x:si>
    <x:t xml:space="preserve">D-14</x:t>
  </x:si>
  <x:si>
    <x:t xml:space="preserve">Commission photography, or ship labelled drawings?</x:t>
  </x:si>
  <x:si>
    <x:t xml:space="preserve">Ship drawings, labelled as drawings, until a property is photographable. Commission for Padubidri at handover.</x:t>
  </x:si>
  <x:si>
    <x:t xml:space="preserve">D-15</x:t>
  </x:si>
  <x:si>
    <x:t xml:space="preserve">Which of the 12 public scaffolds get built first?</x:t>
  </x:si>
  <x:si>
    <x:t xml:space="preserve">See the IA sheet filtered to public + scaffold. They are indexable, so they are what a stranger finds.</x:t>
  </x:si>
  <x:si>
    <x:t xml:space="preserve">D-16</x:t>
  </x:si>
  <x:si>
    <x:t xml:space="preserve">Verify a sending domain in Resend.</x:t>
  </x:si>
  <x:si>
    <x:t xml:space="preserve">Required before any outbound email. The sandbox sender only delivers to your own address.</x:t>
  </x:si>
  <x:si>
    <x:t xml:space="preserve">D-17</x:t>
  </x:si>
  <x:si>
    <x:t xml:space="preserve">Do you take EU traffic? It decides whether GDPR applies on top of DPDP.</x:t>
  </x:si>
  <x:si>
    <x:t xml:space="preserve">Assume yes unless you geo-block. It changes P-03 and E-03.</x:t>
  </x:si>
  <x:si>
    <x:t xml:space="preserve">D-18</x:t>
  </x:si>
  <x:si>
    <x:t xml:space="preserve">Domain</x:t>
  </x:si>
  <x:si>
    <x:t xml:space="preserve">Ratify the §33 amendment queue: 10 candidate objects the vehicle domain model registers (see the Domain sheet).</x:t>
  </x:si>
  <x:si>
    <x:t xml:space="preserve">Ratify OwnershipCalendar + AllocationRight first — Time is the only domain with zero ratified objects. FixedAsset and DebtFacility next; both are needed before the first fit-out invoice and the first covenant test.</x:t>
  </x:si>
  <x:si>
    <x:t xml:space="preserve">D-19</x:t>
  </x:si>
  <x:si>
    <x:t xml:space="preserve">Confirm the audit-threshold policy: the statutory mirror assumes EVERY GC vehicle crosses ₹25 lakh contribution at formation, so all are audited and ITR-5 falls on 31 October.</x:t>
  </x:si>
  <x:si>
    <x:t xml:space="preserve">True of SlowSpace (₹4 Cr equity). Confirm it holds as standing policy so the mirror never needs a per-vehicle exception.</x:t>
  </x:si>
  <x:si>
    <x:t xml:space="preserve">Pending Assets</x:t>
  </x:si>
  <x:si>
    <x:t xml:space="preserve">Nothing here exists. Dimensions are what the code actually consumes; where a surface currently renders a generated placeholder, the placeholder is named so you can see what it is standing in for. YELLOW CELLS ARE YOURS.</x:t>
  </x:si>
  <x:si>
    <x:t xml:space="preserve">Category</x:t>
  </x:si>
  <x:si>
    <x:t xml:space="preserve">Asset</x:t>
  </x:si>
  <x:si>
    <x:t xml:space="preserve">Dimensions</x:t>
  </x:si>
  <x:si>
    <x:t xml:space="preserve">Qty</x:t>
  </x:si>
  <x:si>
    <x:t xml:space="preserve">Used by</x:t>
  </x:si>
  <x:si>
    <x:t xml:space="preserve">Currently renders</x:t>
  </x:si>
  <x:si>
    <x:t xml:space="preserve">A-01</x:t>
  </x:si>
  <x:si>
    <x:t xml:space="preserve">Wordmark</x:t>
  </x:si>
  <x:si>
    <x:t xml:space="preserve">SVG</x:t>
  </x:si>
  <x:si>
    <x:t xml:space="preserve">Vector, 1-colour</x:t>
  </x:si>
  <x:si>
    <x:t xml:space="preserve">1</x:t>
  </x:si>
  <x:si>
    <x:t xml:space="preserve">Header, footer, favicon</x:t>
  </x:si>
  <x:si>
    <x:t xml:space="preserve">Text 'GC.SYSTEM'</x:t>
  </x:si>
  <x:si>
    <x:t xml:space="preserve">Not supplied</x:t>
  </x:si>
  <x:si>
    <x:t xml:space="preserve">A-02</x:t>
  </x:si>
  <x:si>
    <x:t xml:space="preserve">Monogram / favicon</x:t>
  </x:si>
  <x:si>
    <x:t xml:space="preserve">Square, legible at 16px</x:t>
  </x:si>
  <x:si>
    <x:t xml:space="preserve">app/icon.tsx</x:t>
  </x:si>
  <x:si>
    <x:t xml:space="preserve">Generated GC monogram from tokens</x:t>
  </x:si>
  <x:si>
    <x:t xml:space="preserve">A-03</x:t>
  </x:si>
  <x:si>
    <x:t xml:space="preserve">Brand guidelines PDF</x:t>
  </x:si>
  <x:si>
    <x:t xml:space="preserve">PDF</x:t>
  </x:si>
  <x:si>
    <x:t xml:space="preserve">Partner and press packs</x:t>
  </x:si>
  <x:si>
    <x:t xml:space="preserve">A-04</x:t>
  </x:si>
  <x:si>
    <x:t xml:space="preserve">SlowSpace Coastal · hero</x:t>
  </x:si>
  <x:si>
    <x:t xml:space="preserve">Photo/render</x:t>
  </x:si>
  <x:si>
    <x:t xml:space="preserve">3200×1800 (16:9), ≥2× retina</x:t>
  </x:si>
  <x:si>
    <x:t xml:space="preserve">/flow, /collection/[property]</x:t>
  </x:si>
  <x:si>
    <x:t xml:space="preserve">Generated gradient plate, hue 198</x:t>
  </x:si>
  <x:si>
    <x:t xml:space="preserve">A-05</x:t>
  </x:si>
  <x:si>
    <x:t xml:space="preserve">SlowSpace Coastal · gallery set</x:t>
  </x:si>
  <x:si>
    <x:t xml:space="preserve">2400×3000 (4:5)</x:t>
  </x:si>
  <x:si>
    <x:t xml:space="preserve">8–12</x:t>
  </x:si>
  <x:si>
    <x:t xml:space="preserve">/gallery, /collection/[property]/gallery</x:t>
  </x:si>
  <x:si>
    <x:t xml:space="preserve">2 labelled drawings (F-01, F-02)</x:t>
  </x:si>
  <x:si>
    <x:t xml:space="preserve">A-06</x:t>
  </x:si>
  <x:si>
    <x:t xml:space="preserve">SlowSpace Coastal · site plan</x:t>
  </x:si>
  <x:si>
    <x:t xml:space="preserve">Drawing</x:t>
  </x:si>
  <x:si>
    <x:t xml:space="preserve">Vector or 3000px wide</x:t>
  </x:si>
  <x:si>
    <x:t xml:space="preserve">F-02 placeholder</x:t>
  </x:si>
  <x:si>
    <x:t xml:space="preserve">A-07</x:t>
  </x:si>
  <x:si>
    <x:t xml:space="preserve">SlowSpace Coastal · section drawings</x:t>
  </x:si>
  <x:si>
    <x:t xml:space="preserve">Vector</x:t>
  </x:si>
  <x:si>
    <x:t xml:space="preserve">3–4</x:t>
  </x:si>
  <x:si>
    <x:t xml:space="preserve">Space surfaces</x:t>
  </x:si>
  <x:si>
    <x:t xml:space="preserve">F-01 placeholder</x:t>
  </x:si>
  <x:si>
    <x:t xml:space="preserve">A-08</x:t>
  </x:si>
  <x:si>
    <x:t xml:space="preserve">Kyoto House · gallery set</x:t>
  </x:si>
  <x:si>
    <x:t xml:space="preserve">Photo</x:t>
  </x:si>
  <x:si>
    <x:t xml:space="preserve">6–10</x:t>
  </x:si>
  <x:si>
    <x:t xml:space="preserve">/collection/kyoto-house</x:t>
  </x:si>
  <x:si>
    <x:t xml:space="preserve">1 labelled drawing (F-03)</x:t>
  </x:si>
  <x:si>
    <x:t xml:space="preserve">A-09</x:t>
  </x:si>
  <x:si>
    <x:t xml:space="preserve">Swiss Vault · gallery set</x:t>
  </x:si>
  <x:si>
    <x:t xml:space="preserve">/collection/swiss-vault</x:t>
  </x:si>
  <x:si>
    <x:t xml:space="preserve">1 labelled drawing (F-04)</x:t>
  </x:si>
  <x:si>
    <x:t xml:space="preserve">A-10</x:t>
  </x:si>
  <x:si>
    <x:t xml:space="preserve">Oslo Base · gallery set</x:t>
  </x:si>
  <x:si>
    <x:t xml:space="preserve">/collection/oslo-base</x:t>
  </x:si>
  <x:si>
    <x:t xml:space="preserve">1 labelled drawing (F-05)</x:t>
  </x:si>
  <x:si>
    <x:t xml:space="preserve">A-11</x:t>
  </x:si>
  <x:si>
    <x:t xml:space="preserve">Aerial / context</x:t>
  </x:si>
  <x:si>
    <x:t xml:space="preserve">3200×1800</x:t>
  </x:si>
  <x:si>
    <x:t xml:space="preserve">1 per property</x:t>
  </x:si>
  <x:si>
    <x:t xml:space="preserve">Location surfaces</x:t>
  </x:si>
  <x:si>
    <x:t xml:space="preserve">A-12</x:t>
  </x:si>
  <x:si>
    <x:t xml:space="preserve">Social</x:t>
  </x:si>
  <x:si>
    <x:t xml:space="preserve">Default share card</x:t>
  </x:si>
  <x:si>
    <x:t xml:space="preserve">PNG</x:t>
  </x:si>
  <x:si>
    <x:t xml:space="preserve">1200×630</x:t>
  </x:si>
  <x:si>
    <x:t xml:space="preserve">app/opengraph-image.tsx</x:t>
  </x:si>
  <x:si>
    <x:t xml:space="preserve">Generated type-only card from tokens</x:t>
  </x:si>
  <x:si>
    <x:t xml:space="preserve">A-13</x:t>
  </x:si>
  <x:si>
    <x:t xml:space="preserve">Per-property share cards</x:t>
  </x:si>
  <x:si>
    <x:t xml:space="preserve">Property routes</x:t>
  </x:si>
  <x:si>
    <x:t xml:space="preserve">Falls back to A-12</x:t>
  </x:si>
  <x:si>
    <x:t xml:space="preserve">A-14</x:t>
  </x:si>
  <x:si>
    <x:t xml:space="preserve">Editorial</x:t>
  </x:si>
  <x:si>
    <x:t xml:space="preserve">Journal entry headers</x:t>
  </x:si>
  <x:si>
    <x:t xml:space="preserve">Photo/illustration</x:t>
  </x:si>
  <x:si>
    <x:t xml:space="preserve">2400×1350 (16:9)</x:t>
  </x:si>
  <x:si>
    <x:t xml:space="preserve">1 per entry</x:t>
  </x:si>
  <x:si>
    <x:t xml:space="preserve">Gradient plate</x:t>
  </x:si>
  <x:si>
    <x:t xml:space="preserve">A-15</x:t>
  </x:si>
  <x:si>
    <x:t xml:space="preserve">Journal author portraits</x:t>
  </x:si>
  <x:si>
    <x:t xml:space="preserve">800×800</x:t>
  </x:si>
  <x:si>
    <x:t xml:space="preserve">1 per author</x:t>
  </x:si>
  <x:si>
    <x:t xml:space="preserve">A-16</x:t>
  </x:si>
  <x:si>
    <x:t xml:space="preserve">People</x:t>
  </x:si>
  <x:si>
    <x:t xml:space="preserve">Team portraits</x:t>
  </x:si>
  <x:si>
    <x:t xml:space="preserve">1200×1500 (4:5)</x:t>
  </x:si>
  <x:si>
    <x:t xml:space="preserve">1 per person</x:t>
  </x:si>
  <x:si>
    <x:t xml:space="preserve">A-17</x:t>
  </x:si>
  <x:si>
    <x:t xml:space="preserve">Partner firm logos</x:t>
  </x:si>
  <x:si>
    <x:t xml:space="preserve">1 per firm</x:t>
  </x:si>
  <x:si>
    <x:t xml:space="preserve">Names withheld until engagements are recorded</x:t>
  </x:si>
  <x:si>
    <x:t xml:space="preserve">A-18</x:t>
  </x:si>
  <x:si>
    <x:t xml:space="preserve">Diagram</x:t>
  </x:si>
  <x:si>
    <x:t xml:space="preserve">Vehicle / entity structure</x:t>
  </x:si>
  <x:si>
    <x:t xml:space="preserve">/structure, /how-it-works</x:t>
  </x:si>
  <x:si>
    <x:t xml:space="preserve">Text-and-rule diagram</x:t>
  </x:si>
  <x:si>
    <x:t xml:space="preserve">A-19</x:t>
  </x:si>
  <x:si>
    <x:t xml:space="preserve">Waterfall diagram</x:t>
  </x:si>
  <x:si>
    <x:t xml:space="preserve">Built in CSS from live figures — arguably better than an asset</x:t>
  </x:si>
  <x:si>
    <x:t xml:space="preserve">A-20</x:t>
  </x:si>
  <x:si>
    <x:t xml:space="preserve">The Dossier / investment brief</x:t>
  </x:si>
  <x:si>
    <x:t xml:space="preserve">A4</x:t>
  </x:si>
  <x:si>
    <x:t xml:space="preserve">NOTHING. The form promises it and no file exists.</x:t>
  </x:si>
  <x:si>
    <x:t xml:space="preserve">A-21</x:t>
  </x:si>
  <x:si>
    <x:t xml:space="preserve">Vehicle Agreement template</x:t>
  </x:si>
  <x:si>
    <x:t xml:space="preserve">PDF/DOCX</x:t>
  </x:si>
  <x:si>
    <x:t xml:space="preserve">1 per vehicle</x:t>
  </x:si>
  <x:si>
    <x:t xml:space="preserve">Accreditation, settlement</x:t>
  </x:si>
  <x:si>
    <x:t xml:space="preserve">A-22</x:t>
  </x:si>
  <x:si>
    <x:t xml:space="preserve">Press</x:t>
  </x:si>
  <x:si>
    <x:t xml:space="preserve">Press kit</x:t>
  </x:si>
  <x:si>
    <x:t xml:space="preserve">ZIP</x:t>
  </x:si>
  <x:si>
    <x:t xml:space="preserve">Ships empty and says so</x:t>
  </x:si>
  <x:si>
    <x:t xml:space="preserve">A-23</x:t>
  </x:si>
  <x:si>
    <x:t xml:space="preserve">Video</x:t>
  </x:si>
  <x:si>
    <x:t xml:space="preserve">Property film</x:t>
  </x:si>
  <x:si>
    <x:t xml:space="preserve">MP4</x:t>
  </x:si>
  <x:si>
    <x:t xml:space="preserve">1920×1080, ≤60s</x:t>
  </x:si>
  <x:si>
    <x:t xml:space="preserve">Hero surfaces</x:t>
  </x:si>
  <x:si>
    <x:t xml:space="preserve">A-24</x:t>
  </x:si>
  <x:si>
    <x:t xml:space="preserve">Lawyer-reviewed Terms and Risk Disclosure</x:t>
  </x:si>
  <x:si>
    <x:t xml:space="preserve">Text</x:t>
  </x:si>
  <x:si>
    <x:t xml:space="preserve">content/legal.ts</x:t>
  </x:si>
  <x:si>
    <x:t xml:space="preserve">Unreviewed draft, ~9,000 words</x:t>
  </x:si>
  <x:si>
    <x:t xml:space="preserve">The Vehicle Domain Model</x:t>
  </x:si>
  <x:si>
    <x:t xml:space="preserve">EXTRACTED from constants/vehicle-domain.ts (commit b0ade3f), not typed. The LLP sits at the apex; Space, Time and Capital are its constituents; Governance is the constitutional layer that governs the other three — not a fourth business function. Every constituent states what backs it: a ratified object, a UFR field, a derivation, executable code, a REGISTERED gap awaiting a §33 amendment, or OUT OF SCOPE with the reason.</x:t>
  </x:si>
  <x:si>
    <x:t xml:space="preserve">Section</x:t>
  </x:si>
  <x:si>
    <x:t xml:space="preserve">Constituent</x:t>
  </x:si>
  <x:si>
    <x:t xml:space="preserve">Backing</x:t>
  </x:si>
  <x:si>
    <x:t xml:space="preserve">Backed by</x:t>
  </x:si>
  <x:si>
    <x:t xml:space="preserve">Gap / exclusion detail</x:t>
  </x:si>
  <x:si>
    <x:t xml:space="preserve">Note</x:t>
  </x:si>
  <x:si>
    <x:t xml:space="preserve">What does the LLP own?</x:t>
  </x:si>
  <x:si>
    <x:t xml:space="preserve">SP.1 · Property</x:t>
  </x:si>
  <x:si>
    <x:t xml:space="preserve">Property Code</x:t>
  </x:si>
  <x:si>
    <x:t xml:space="preserve">object</x:t>
  </x:si>
  <x:si>
    <x:t xml:space="preserve">The asset code (PDB-01) is carried on the record today; a dedicated UFR entry is the E-06 gap to close when the field is next touched.</x:t>
  </x:si>
  <x:si>
    <x:t xml:space="preserve">Property Name</x:t>
  </x:si>
  <x:si>
    <x:t xml:space="preserve">field</x:t>
  </x:si>
  <x:si>
    <x:t xml:space="preserve">UFR-0060 on Property</x:t>
  </x:si>
  <x:si>
    <x:t xml:space="preserve">Property Type</x:t>
  </x:si>
  <x:si>
    <x:t xml:space="preserve">Carried on the Property record; the closed type set is an enum question, not a new object.</x:t>
  </x:si>
  <x:si>
    <x:t xml:space="preserve">Investment Thesis</x:t>
  </x:si>
  <x:si>
    <x:t xml:space="preserve">An attribute of the asset, constitutionally: the thesis names why THIS property. It moved from Intelligence to Space for that reason.</x:t>
  </x:si>
  <x:si>
    <x:t xml:space="preserve">Asset Status</x:t>
  </x:si>
  <x:si>
    <x:t xml:space="preserve">UFR-0066 on Property</x:t>
  </x:si>
  <x:si>
    <x:t xml:space="preserve">The lifecycle field. Pre-construction → construction → stabilised → disposition.</x:t>
  </x:si>
  <x:si>
    <x:t xml:space="preserve">Documents Folder</x:t>
  </x:si>
  <x:si>
    <x:t xml:space="preserve">registered</x:t>
  </x:si>
  <x:si>
    <x:t xml:space="preserve">PropertyDocument</x:t>
  </x:si>
  <x:si>
    <x:t xml:space="preserve">One object per instrument with kind, custody and hash — a folder is not a record.</x:t>
  </x:si>
  <x:si>
    <x:t xml:space="preserve">SP.2 · Fixed Assets</x:t>
  </x:si>
  <x:si>
    <x:t xml:space="preserve">Furniture &amp; Fixtures</x:t>
  </x:si>
  <x:si>
    <x:t xml:space="preserve">FixedAsset</x:t>
  </x:si>
  <x:si>
    <x:t xml:space="preserve">Asset register entries with cost, life, and depreciation basis. Required before the first fit-out invoice lands.</x:t>
  </x:si>
  <x:si>
    <x:t xml:space="preserve">Plant &amp; Machinery</x:t>
  </x:si>
  <x:si>
    <x:t xml:space="preserve">Same object, classed plant_machinery.</x:t>
  </x:si>
  <x:si>
    <x:t xml:space="preserve">Renewable Systems</x:t>
  </x:si>
  <x:si>
    <x:t xml:space="preserve">Same object, classed renewable.</x:t>
  </x:si>
  <x:si>
    <x:t xml:space="preserve">Capital Improvements</x:t>
  </x:si>
  <x:si>
    <x:t xml:space="preserve">Same object, classed improvement — funded from the Sinking Fund, which is why the class must be distinguishable.</x:t>
  </x:si>
  <x:si>
    <x:t xml:space="preserve">SP.3 · Asset Protection</x:t>
  </x:si>
  <x:si>
    <x:t xml:space="preserve">Insurance</x:t>
  </x:si>
  <x:si>
    <x:t xml:space="preserve">InsurancePolicy</x:t>
  </x:si>
  <x:si>
    <x:t xml:space="preserve">Policy, insurer, sum insured, expiry. The governance calendar needs the expiry date to fire a compliance event.</x:t>
  </x:si>
  <x:si>
    <x:t xml:space="preserve">Valuation</x:t>
  </x:si>
  <x:si>
    <x:t xml:space="preserve">Already ratified. Carries its source and confidence class — a management estimate is not an appraisal.</x:t>
  </x:si>
  <x:si>
    <x:t xml:space="preserve">SP.4 · Property Documents</x:t>
  </x:si>
  <x:si>
    <x:t xml:space="preserve">Drawings</x:t>
  </x:si>
  <x:si>
    <x:t xml:space="preserve">kind: drawing</x:t>
  </x:si>
  <x:si>
    <x:t xml:space="preserve">Approvals</x:t>
  </x:si>
  <x:si>
    <x:t xml:space="preserve">kind: approval. CRZ clearance lives here — the compliance mirror in Governance references it.</x:t>
  </x:si>
  <x:si>
    <x:t xml:space="preserve">Manuals</x:t>
  </x:si>
  <x:si>
    <x:t xml:space="preserve">kind: manual</x:t>
  </x:si>
  <x:si>
    <x:t xml:space="preserve">Warranties</x:t>
  </x:si>
  <x:si>
    <x:t xml:space="preserve">kind: warranty. Expiry-bearing, like insurance — feeds the governance calendar.</x:t>
  </x:si>
  <x:si>
    <x:t xml:space="preserve">Asset Registers</x:t>
  </x:si>
  <x:si>
    <x:t xml:space="preserve">The register IS the set of FixedAsset records; a separate register document would be a copy that drifts.</x:t>
  </x:si>
  <x:si>
    <x:t xml:space="preserve">How much time does each LLP Partner legally control?</x:t>
  </x:si>
  <x:si>
    <x:t xml:space="preserve">TM.1 · Ownership Calendar</x:t>
  </x:si>
  <x:si>
    <x:t xml:space="preserve">Calendar Year</x:t>
  </x:si>
  <x:si>
    <x:t xml:space="preserve">OwnershipCalendar</x:t>
  </x:si>
  <x:si>
    <x:t xml:space="preserve">One record per vehicle per year. The vehicle-level pool the allocations divide.</x:t>
  </x:si>
  <x:si>
    <x:t xml:space="preserve">Allocation Year</x:t>
  </x:si>
  <x:si>
    <x:t xml:space="preserve">The year an allocation belongs to — distinct from the calendar year it is used in only once rollover policy exists, which is Decision D-07.</x:t>
  </x:si>
  <x:si>
    <x:t xml:space="preserve">Available Days</x:t>
  </x:si>
  <x:si>
    <x:t xml:space="preserve">derived</x:t>
  </x:si>
  <x:si>
    <x:t xml:space="preserve">NIGHT_POOL stated per vehicle per year; each position takes floor(pool × stake)</x:t>
  </x:si>
  <x:si>
    <x:t xml:space="preserve">The pool is stated for the whole vehicle and each position takes its floor, so the sum of every partner's entitlement can never exceed what the property delivers. Multiplying a per-unit figure would invent nights.</x:t>
  </x:si>
  <x:si>
    <x:t xml:space="preserve">TM.2 · Allocation Rights</x:t>
  </x:si>
  <x:si>
    <x:t xml:space="preserve">Ownership Percentage</x:t>
  </x:si>
  <x:si>
    <x:t xml:space="preserve">UFR-0242 on Ownership Position</x:t>
  </x:si>
  <x:si>
    <x:t xml:space="preserve">units_held over total_units_issued. The stake is the input; time is one of its outputs.</x:t>
  </x:si>
  <x:si>
    <x:t xml:space="preserve">Annual Day Allocation</x:t>
  </x:si>
  <x:si>
    <x:t xml:space="preserve">floor(available_days × ownership_percentage)</x:t>
  </x:si>
  <x:si>
    <x:t xml:space="preserve">STATIC. It does not vary with usage, season or behaviour — a right attached to ownership, not a reward attached to conduct.</x:t>
  </x:si>
  <x:si>
    <x:t xml:space="preserve">Reserved Days</x:t>
  </x:si>
  <x:si>
    <x:t xml:space="preserve">AllocationRight</x:t>
  </x:si>
  <x:si>
    <x:t xml:space="preserve">Days the vehicle withholds from the pool before division — maintenance closures, statutory closures.</x:t>
  </x:si>
  <x:si>
    <x:t xml:space="preserve">Blackout Rules</x:t>
  </x:si>
  <x:si>
    <x:t xml:space="preserve">Vehicle-level rules constraining when allocation may be drawn. Rules, never individual draws.</x:t>
  </x:si>
  <x:si>
    <x:t xml:space="preserve">TM.3 · Usage Rights</x:t>
  </x:si>
  <x:si>
    <x:t xml:space="preserve">Usage Rights</x:t>
  </x:si>
  <x:si>
    <x:t xml:space="preserve">outOfScope</x:t>
  </x:si>
  <x:si>
    <x:t xml:space="preserve">Directed out of scope, 1 Aug 2026. Usage is operation, and operation belongs to the Operating Company. The vehicle records who CONTROLS time, never who USED it.</x:t>
  </x:si>
  <x:si>
    <x:t xml:space="preserve">TM.4 · Calendar Rights</x:t>
  </x:si>
  <x:si>
    <x:t xml:space="preserve">Calendar Rights</x:t>
  </x:si>
  <x:si>
    <x:t xml:space="preserve">Directed out of scope, 1 Aug 2026. Same boundary as Usage Rights.</x:t>
  </x:si>
  <x:si>
    <x:t xml:space="preserve">TM.5 · Time Ledger</x:t>
  </x:si>
  <x:si>
    <x:t xml:space="preserve">Time Ledger</x:t>
  </x:si>
  <x:si>
    <x:t xml:space="preserve">Directed out of scope, 1 Aug 2026. A ledger of draws is an operating record. If it is ever pulled inside the vehicle, it enters as a §33 amendment — not as a quiet table.</x:t>
  </x:si>
  <x:si>
    <x:t xml:space="preserve">What is the financial position of the LLP?</x:t>
  </x:si>
  <x:si>
    <x:t xml:space="preserve">CP.1 · Investors</x:t>
  </x:si>
  <x:si>
    <x:t xml:space="preserve">Partner Register</x:t>
  </x:si>
  <x:si>
    <x:t xml:space="preserve">Ownership Register</x:t>
  </x:si>
  <x:si>
    <x:t xml:space="preserve">Ownership Position</x:t>
  </x:si>
  <x:si>
    <x:t xml:space="preserve">The same record Time reads its stake from. One register, two domains reading it — never two registers.</x:t>
  </x:si>
  <x:si>
    <x:t xml:space="preserve">Capital Accounts</x:t>
  </x:si>
  <x:si>
    <x:t xml:space="preserve">CapitalAccount</x:t>
  </x:si>
  <x:si>
    <x:t xml:space="preserve">Per-partner: contributed, share of profit, drawings, closing balance. The LLP Act requires it and Schedule-form accounts assume it.</x:t>
  </x:si>
  <x:si>
    <x:t xml:space="preserve">CP.2 · Capital Formation</x:t>
  </x:si>
  <x:si>
    <x:t xml:space="preserve">Investment Offering</x:t>
  </x:si>
  <x:si>
    <x:t xml:space="preserve">Commitments</x:t>
  </x:si>
  <x:si>
    <x:t xml:space="preserve">Commitment</x:t>
  </x:si>
  <x:si>
    <x:t xml:space="preserve">Contributions</x:t>
  </x:si>
  <x:si>
    <x:t xml:space="preserve">Investment</x:t>
  </x:si>
  <x:si>
    <x:t xml:space="preserve">A settled contribution. The Member Law fires here and nowhere else.</x:t>
  </x:si>
  <x:si>
    <x:t xml:space="preserve">CP.3 · Finance</x:t>
  </x:si>
  <x:si>
    <x:t xml:space="preserve">Debt</x:t>
  </x:si>
  <x:si>
    <x:t xml:space="preserve">DebtFacility</x:t>
  </x:si>
  <x:si>
    <x:t xml:space="preserve">Lender, principal, rate, moratorium, covenants. The ₹5.5 Cr facility currently lives as prose in slowspace.ts — a covenant nobody can query is a covenant nobody monitors.</x:t>
  </x:si>
  <x:si>
    <x:t xml:space="preserve">Interest</x:t>
  </x:si>
  <x:si>
    <x:t xml:space="preserve">Schedule rows on the facility.</x:t>
  </x:si>
  <x:si>
    <x:t xml:space="preserve">Repayments</x:t>
  </x:si>
  <x:si>
    <x:t xml:space="preserve">Banking</x:t>
  </x:si>
  <x:si>
    <x:t xml:space="preserve">BankAccount</x:t>
  </x:si>
  <x:si>
    <x:t xml:space="preserve">Account, bank, signatories. Signing authority itself is Governance — the account is Capital, the authority over it is law.</x:t>
  </x:si>
  <x:si>
    <x:t xml:space="preserve">CP.4 · Revenue</x:t>
  </x:si>
  <x:si>
    <x:t xml:space="preserve">Revenue</x:t>
  </x:si>
  <x:si>
    <x:t xml:space="preserve">LedgerEntry</x:t>
  </x:si>
  <x:si>
    <x:t xml:space="preserve">Recognised revenue, by period and class.</x:t>
  </x:si>
  <x:si>
    <x:t xml:space="preserve">Operating Income</x:t>
  </x:si>
  <x:si>
    <x:t xml:space="preserve">class: operating</x:t>
  </x:si>
  <x:si>
    <x:t xml:space="preserve">Brand Income</x:t>
  </x:si>
  <x:si>
    <x:t xml:space="preserve">class: brand</x:t>
  </x:si>
  <x:si>
    <x:t xml:space="preserve">Other Income</x:t>
  </x:si>
  <x:si>
    <x:t xml:space="preserve">class: other</x:t>
  </x:si>
  <x:si>
    <x:t xml:space="preserve">CP.5 · Expenses</x:t>
  </x:si>
  <x:si>
    <x:t xml:space="preserve">Operating Costs</x:t>
  </x:si>
  <x:si>
    <x:t xml:space="preserve">class: operating_cost</x:t>
  </x:si>
  <x:si>
    <x:t xml:space="preserve">Asset Management</x:t>
  </x:si>
  <x:si>
    <x:t xml:space="preserve">class: asset_management</x:t>
  </x:si>
  <x:si>
    <x:t xml:space="preserve">class: administration</x:t>
  </x:si>
  <x:si>
    <x:t xml:space="preserve">class: insurance — the premium is an expense here; the policy is Space (SP.3).</x:t>
  </x:si>
  <x:si>
    <x:t xml:space="preserve">Professional Fees</x:t>
  </x:si>
  <x:si>
    <x:t xml:space="preserve">class: professional_fees</x:t>
  </x:si>
  <x:si>
    <x:t xml:space="preserve">CP.6 · Reserves</x:t>
  </x:si>
  <x:si>
    <x:t xml:space="preserve">Sinking Fund</x:t>
  </x:si>
  <x:si>
    <x:t xml:space="preserve">lib/domain.ts — waterfall stage 4, floor rule F-06</x:t>
  </x:si>
  <x:si>
    <x:t xml:space="preserve">The reserve exists as executable law: 2.5% of revenue in, distribution blocked if paying would breach the floor. A Reserve record joins when persistence exists.</x:t>
  </x:si>
  <x:si>
    <x:t xml:space="preserve">CP.7 · Valuation</x:t>
  </x:si>
  <x:si>
    <x:t xml:space="preserve">NAV</x:t>
  </x:si>
  <x:si>
    <x:t xml:space="preserve">asset valuations (Space) − debt outstanding + reserves + net working capital</x:t>
  </x:si>
  <x:si>
    <x:t xml:space="preserve">Derived, never typed. The prototype carried four different valuations of one house because each screen held its own copy.</x:t>
  </x:si>
  <x:si>
    <x:t xml:space="preserve">CP.8 · Distribution</x:t>
  </x:si>
  <x:si>
    <x:t xml:space="preserve">lib/domain.ts — six stages, closes to 100%, F-05</x:t>
  </x:si>
  <x:si>
    <x:t xml:space="preserve">Debt Service</x:t>
  </x:si>
  <x:si>
    <x:t xml:space="preserve">investor share − partner distribution; stage 5, the senior claim</x:t>
  </x:si>
  <x:si>
    <x:t xml:space="preserve">Partner Distributions</x:t>
  </x:si>
  <x:si>
    <x:t xml:space="preserve">Retained Earnings</x:t>
  </x:si>
  <x:si>
    <x:t xml:space="preserve">what stage 6 withholds when blocked — retained, never evaporated</x:t>
  </x:si>
  <x:si>
    <x:t xml:space="preserve">CP.9 · Reporting</x:t>
  </x:si>
  <x:si>
    <x:t xml:space="preserve">Balance Sheet</x:t>
  </x:si>
  <x:si>
    <x:t xml:space="preserve">Performance Report</x:t>
  </x:si>
  <x:si>
    <x:t xml:space="preserve">Statement kinds on the report object; the statutory filing of them is Governance (Form 8).</x:t>
  </x:si>
  <x:si>
    <x:t xml:space="preserve">Profit &amp; Loss</x:t>
  </x:si>
  <x:si>
    <x:t xml:space="preserve">Cash Flow</x:t>
  </x:si>
  <x:si>
    <x:t xml:space="preserve">Reported per partner, per period — same object as CP.1.</x:t>
  </x:si>
  <x:si>
    <x:t xml:space="preserve">Forecasts</x:t>
  </x:si>
  <x:si>
    <x:t xml:space="preserve">Forecast</x:t>
  </x:si>
  <x:si>
    <x:t xml:space="preserve">Forward-looking, so every figure carries its confidence class.</x:t>
  </x:si>
  <x:si>
    <x:t xml:space="preserve">Governance ⚖</x:t>
  </x:si>
  <x:si>
    <x:t xml:space="preserve">Under what law does the LLP act, and can it prove compliance?</x:t>
  </x:si>
  <x:si>
    <x:t xml:space="preserve">GV.1 · LLP Governance</x:t>
  </x:si>
  <x:si>
    <x:t xml:space="preserve">LLP Agreement</x:t>
  </x:si>
  <x:si>
    <x:t xml:space="preserve">Agreement</x:t>
  </x:si>
  <x:si>
    <x:t xml:space="preserve">The constitutional instrument. Filed as Form 3 within 30 days of incorporation — the statutory mirror row references this record.</x:t>
  </x:si>
  <x:si>
    <x:t xml:space="preserve">Partner &amp; Designated Partner Register</x:t>
  </x:si>
  <x:si>
    <x:t xml:space="preserve">The register read here is the same Investor set Capital holds — annotated with designated-partner status, never duplicated.</x:t>
  </x:si>
  <x:si>
    <x:t xml:space="preserve">Authority Matrix</x:t>
  </x:si>
  <x:si>
    <x:t xml:space="preserve">lib/authority.ts — rights, roles, separationViolations()</x:t>
  </x:si>
  <x:si>
    <x:t xml:space="preserve">Executable, and checked: no role may hold a dangerous triad. A matrix kept as a document is a matrix nobody enforces.</x:t>
  </x:si>
  <x:si>
    <x:t xml:space="preserve">Board / Partner Meeting Records</x:t>
  </x:si>
  <x:si>
    <x:t xml:space="preserve">Committee</x:t>
  </x:si>
  <x:si>
    <x:t xml:space="preserve">Resolution Register</x:t>
  </x:si>
  <x:si>
    <x:t xml:space="preserve">Voting Register</x:t>
  </x:si>
  <x:si>
    <x:t xml:space="preserve">constants/voting.ts — thresholds; ADR-0008 secret ballot, transparent outcome</x:t>
  </x:si>
  <x:si>
    <x:t xml:space="preserve">Contribution-weighted per §24a. Ordinary carries above 50% — a tie is not approval. Special at 76%. Tallies are published; who voted how never is.</x:t>
  </x:si>
  <x:si>
    <x:t xml:space="preserve">Constitutional Amendments</x:t>
  </x:si>
  <x:si>
    <x:t xml:space="preserve">Policy</x:t>
  </x:si>
  <x:si>
    <x:t xml:space="preserve">Including §33 amendments — which is how every `registered` candidate in this file becomes real.</x:t>
  </x:si>
  <x:si>
    <x:t xml:space="preserve">All Agreements</x:t>
  </x:si>
  <x:si>
    <x:t xml:space="preserve">Operator agreement, brand licence, facility agreement — one object, kinds distinguished. Every contract the vehicle signs lands here or does not bind it.</x:t>
  </x:si>
  <x:si>
    <x:t xml:space="preserve">GV.2 · Corporate Administration</x:t>
  </x:si>
  <x:si>
    <x:t xml:space="preserve">Incorporation Documents</x:t>
  </x:si>
  <x:si>
    <x:t xml:space="preserve">StatutoryRecord</x:t>
  </x:si>
  <x:si>
    <x:t xml:space="preserve">kind: incorporation — certificate, LLPIN, Form 2.</x:t>
  </x:si>
  <x:si>
    <x:t xml:space="preserve">PAN</x:t>
  </x:si>
  <x:si>
    <x:t xml:space="preserve">kind: pan</x:t>
  </x:si>
  <x:si>
    <x:t xml:space="preserve">TAN</x:t>
  </x:si>
  <x:si>
    <x:t xml:space="preserve">kind: tan — required the day the first salary or contractor payment is made, for TDS.</x:t>
  </x:si>
  <x:si>
    <x:t xml:space="preserve">Registered Office</x:t>
  </x:si>
  <x:si>
    <x:t xml:space="preserve">kind: registered_office. No UFR field carries it today — LLP.office in slowspace.ts is prose. A change of registered office is Form 15; the mirror row exists below.</x:t>
  </x:si>
  <x:si>
    <x:t xml:space="preserve">Statutory Registers</x:t>
  </x:si>
  <x:si>
    <x:t xml:space="preserve">kind: register</x:t>
  </x:si>
  <x:si>
    <x:t xml:space="preserve">Digital Signatures</x:t>
  </x:si>
  <x:si>
    <x:t xml:space="preserve">kind: dsc — every designated partner needs one before any MCA filing can be made.</x:t>
  </x:si>
  <x:si>
    <x:t xml:space="preserve">Banking Authorities</x:t>
  </x:si>
  <x:si>
    <x:t xml:space="preserve">kind: banking_authority — WHO may operate the account. The account itself is Capital (CP.3).</x:t>
  </x:si>
  <x:si>
    <x:t xml:space="preserve">Authorised Signatories</x:t>
  </x:si>
  <x:si>
    <x:t xml:space="preserve">kind: signatory</x:t>
  </x:si>
  <x:si>
    <x:t xml:space="preserve">Enterprise Policies</x:t>
  </x:si>
  <x:si>
    <x:t xml:space="preserve">Governance Calendar</x:t>
  </x:si>
  <x:si>
    <x:t xml:space="preserve">union of every statutory due date below + every expiry-bearing record (insurance, warranties, DSC)</x:t>
  </x:si>
  <x:si>
    <x:t xml:space="preserve">Derived from the obligations, never kept by hand. A hand-kept calendar is the one document guaranteed to be wrong the year it matters.</x:t>
  </x:si>
  <x:si>
    <x:t xml:space="preserve">THE STATUTORY MIRROR</x:t>
  </x:si>
  <x:si>
    <x:t xml:space="preserve">Every obligation of an Indian LLP, mapped onto the ComplianceEvent object — the governance calendar is derived from these rows, never kept by hand.</x:t>
  </x:si>
  <x:si>
    <x:t xml:space="preserve">Ref</x:t>
  </x:si>
  <x:si>
    <x:t xml:space="preserve">Instrument</x:t>
  </x:si>
  <x:si>
    <x:t xml:space="preserve">What</x:t>
  </x:si>
  <x:si>
    <x:t xml:space="preserve">Applies when</x:t>
  </x:si>
  <x:si>
    <x:t xml:space="preserve">ST-01</x:t>
  </x:si>
  <x:si>
    <x:t xml:space="preserve">Form 3</x:t>
  </x:si>
  <x:si>
    <x:t xml:space="preserve">MCA</x:t>
  </x:si>
  <x:si>
    <x:t xml:space="preserve">File the LLP Agreement and any change to it.</x:t>
  </x:si>
  <x:si>
    <x:t xml:space="preserve">Within 30 days of incorporation or of the change</x:t>
  </x:si>
  <x:si>
    <x:t xml:space="preserve">always</x:t>
  </x:si>
  <x:si>
    <x:t xml:space="preserve">ST-02</x:t>
  </x:si>
  <x:si>
    <x:t xml:space="preserve">Form 11</x:t>
  </x:si>
  <x:si>
    <x:t xml:space="preserve">Annual Return — partners, contributions, changes in the year.</x:t>
  </x:si>
  <x:si>
    <x:t xml:space="preserve">Within 60 days of financial year end (by 30 May)</x:t>
  </x:si>
  <x:si>
    <x:t xml:space="preserve">ST-03</x:t>
  </x:si>
  <x:si>
    <x:t xml:space="preserve">Form 8</x:t>
  </x:si>
  <x:si>
    <x:t xml:space="preserve">Statement of Account &amp; Solvency — the accounts CP.9 produces, filed.</x:t>
  </x:si>
  <x:si>
    <x:t xml:space="preserve">By 30 October each year</x:t>
  </x:si>
  <x:si>
    <x:t xml:space="preserve">ST-04</x:t>
  </x:si>
  <x:si>
    <x:t xml:space="preserve">Statutory audit</x:t>
  </x:si>
  <x:si>
    <x:t xml:space="preserve">Audit of the accounts.</x:t>
  </x:si>
  <x:si>
    <x:t xml:space="preserve">Before Form 8</x:t>
  </x:si>
  <x:si>
    <x:t xml:space="preserve">turnover &gt; ₹40 lakh OR contribution &gt; ₹25 lakh — every GC vehicle crosses the second test at formation</x:t>
  </x:si>
  <x:si>
    <x:t xml:space="preserve">ST-05</x:t>
  </x:si>
  <x:si>
    <x:t xml:space="preserve">ITR-5</x:t>
  </x:si>
  <x:si>
    <x:t xml:space="preserve">Income Tax</x:t>
  </x:si>
  <x:si>
    <x:t xml:space="preserve">Income tax return of the LLP.</x:t>
  </x:si>
  <x:si>
    <x:t xml:space="preserve">31 July, or 31 October when audited — GC vehicles are audited, so 31 October</x:t>
  </x:si>
  <x:si>
    <x:t xml:space="preserve">ST-06</x:t>
  </x:si>
  <x:si>
    <x:t xml:space="preserve">TDS returns (24Q/26Q)</x:t>
  </x:si>
  <x:si>
    <x:t xml:space="preserve">Quarterly deduction returns against the TAN.</x:t>
  </x:si>
  <x:si>
    <x:t xml:space="preserve">any payment attracting TDS — contractor, professional fees, interest</x:t>
  </x:si>
  <x:si>
    <x:t xml:space="preserve">ST-07</x:t>
  </x:si>
  <x:si>
    <x:t xml:space="preserve">GST returns</x:t>
  </x:si>
  <x:si>
    <x:t xml:space="preserve">GST</x:t>
  </x:si>
  <x:si>
    <x:t xml:space="preserve">Registration and periodic returns.</x:t>
  </x:si>
  <x:si>
    <x:t xml:space="preserve">Monthly/quarterly per registration</x:t>
  </x:si>
  <x:si>
    <x:t xml:space="preserve">taxable supplies exceed the threshold — expected once operations begin</x:t>
  </x:si>
  <x:si>
    <x:t xml:space="preserve">ST-08</x:t>
  </x:si>
  <x:si>
    <x:t xml:space="preserve">Form 4</x:t>
  </x:si>
  <x:si>
    <x:t xml:space="preserve">Change of partner or designated partner.</x:t>
  </x:si>
  <x:si>
    <x:t xml:space="preserve">Within 30 days of the change</x:t>
  </x:si>
  <x:si>
    <x:t xml:space="preserve">on every admission, resignation or transfer — every settlement that admits a partner fires this</x:t>
  </x:si>
  <x:si>
    <x:t xml:space="preserve">ST-09</x:t>
  </x:si>
  <x:si>
    <x:t xml:space="preserve">Form 15</x:t>
  </x:si>
  <x:si>
    <x:t xml:space="preserve">Change of registered office.</x:t>
  </x:si>
  <x:si>
    <x:t xml:space="preserve">Within 30 days</x:t>
  </x:si>
  <x:si>
    <x:t xml:space="preserve">on relocation</x:t>
  </x:si>
  <x:si>
    <x:t xml:space="preserve">ST-10</x:t>
  </x:si>
  <x:si>
    <x:t xml:space="preserve">DIR-3 KYC</x:t>
  </x:si>
  <x:si>
    <x:t xml:space="preserve">Annual KYC of every designated partner's DPIN.</x:t>
  </x:si>
  <x:si>
    <x:t xml:space="preserve">By 30 September each year</x:t>
  </x:si>
  <x:si>
    <x:t xml:space="preserve">ST-11</x:t>
  </x:si>
  <x:si>
    <x:t xml:space="preserve">CRZ clearance conditions</x:t>
  </x:si>
  <x:si>
    <x:t xml:space="preserve">State</x:t>
  </x:si>
  <x:si>
    <x:t xml:space="preserve">Conditions attached to the Coastal Regulation Zone approval — the approval itself is a Property Document (SP.4).</x:t>
  </x:si>
  <x:si>
    <x:t xml:space="preserve">As conditioned</x:t>
  </x:si>
  <x:si>
    <x:t xml:space="preserve">coastal properties — SlowSpace Coastal is one</x:t>
  </x:si>
  <x:si>
    <x:t xml:space="preserve">§33 AMENDMENT QUEUE</x:t>
  </x:si>
  <x:si>
    <x:t xml:space="preserve">Candidate objects the model needs and the ratified 27 do not contain. Ratifying one moves its constituents from `registered` to `object` without restructuring anything. This is Decision D-18.</x:t>
  </x:si>
  <x:si>
    <x:t xml:space="preserve">needed by 2 constituent(s)</x:t>
  </x:si>
  <x:si>
    <x:t xml:space="preserve">needed by 1 constituent(s)</x:t>
  </x:si>
  <x:si>
    <x:t xml:space="preserve">needed by 3 constituent(s)</x:t>
  </x:si>
  <x:si>
    <x:t xml:space="preserve">needed by 5 constituent(s)</x:t>
  </x:si>
  <x:si>
    <x:t xml:space="preserve">needed by 9 constituent(s)</x:t>
  </x:si>
  <x:si>
    <x:t xml:space="preserve">needed by 8 constituent(s)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</x:si>
</x:sst>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2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name val="Arial"/>
    </x:font>
    <x:font>
      <x:sz val="10"/>
      <x:color rgb="FF6B6B6B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9"/>
      <x:name val="Consolas"/>
    </x:font>
    <x:font>
      <x:b/>
      <x:sz val="10"/>
      <x:color rgb="FF177F43"/>
      <x:name val="Arial"/>
    </x:font>
    <x:font>
      <x:b/>
      <x:sz val="10"/>
      <x:color rgb="FFBE4915"/>
      <x:name val="Arial"/>
    </x:font>
    <x:font>
      <x:b/>
      <x:sz val="10"/>
      <x:color rgb="FFC00000"/>
      <x:name val="Arial"/>
    </x:font>
    <x:font>
      <x:sz val="10"/>
      <x:name val="Arial"/>
    </x:font>
    <x:font>
      <x:b/>
      <x:sz val="18"/>
      <x:color rgb="FFFFFFFF"/>
      <x:name val="Calibri"/>
    </x:font>
    <x:font>
      <x:i/>
      <x:sz val="10"/>
      <x:color rgb="FF66615A"/>
      <x:name val="Calibri"/>
    </x:font>
    <x:font>
      <x:b/>
      <x:sz val="10"/>
      <x:color rgb="FFFFFFFF"/>
      <x:name val="Calibri"/>
    </x:font>
    <x:font>
      <x:sz val="10"/>
      <x:color rgb="FF1B1B1B"/>
      <x:name val="Calibri"/>
    </x:font>
    <x:font>
      <x:b/>
      <x:sz val="11"/>
      <x:color rgb="FF1B1B1B"/>
      <x:name val="Calibri"/>
    </x:font>
    <x:font>
      <x:b/>
      <x:sz val="11"/>
      <x:color rgb="FFFFFFFF"/>
      <x:name val="Calibri"/>
    </x:font>
    <x:font>
      <x:sz val="9"/>
      <x:color rgb="FF66615A"/>
      <x:name val="Calibri"/>
    </x:font>
    <x:font>
      <x:b/>
      <x:sz val="16"/>
      <x:color rgb="FFFFFFFF"/>
      <x:name val="Calibri"/>
    </x:font>
    <x:font>
      <x:b/>
      <x:sz val="10"/>
      <x:color rgb="FF1B1B1B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0A0A0A"/>
      </x:patternFill>
    </x:fill>
    <x:fill>
      <x:patternFill patternType="solid">
        <x:fgColor rgb="FFF2F2F2"/>
      </x:patternFill>
    </x:fill>
    <x:fill>
      <x:patternFill patternType="solid">
        <x:fgColor rgb="FFFFFF00"/>
      </x:patternFill>
    </x:fill>
    <x:fill>
      <x:patternFill patternType="solid">
        <x:fgColor rgb="FF14251F"/>
      </x:patternFill>
    </x:fill>
    <x:fill>
      <x:patternFill patternType="solid">
        <x:fgColor rgb="FFF7F5EF"/>
      </x:patternFill>
    </x:fill>
    <x:fill>
      <x:patternFill patternType="solid">
        <x:fgColor rgb="FF2F5D50"/>
      </x:patternFill>
    </x:fill>
    <x:fill>
      <x:patternFill patternType="solid">
        <x:fgColor rgb="FFEEF1EC"/>
      </x:patternFill>
    </x:fill>
    <x:fill>
      <x:patternFill patternType="solid">
        <x:fgColor rgb="FFFFF6E7"/>
      </x:patternFill>
    </x:fill>
  </x:fills>
  <x:borders count="12">
    <x:border diagonalUp="0" diagonalDown="0"/>
    <x:border diagonalUp="0" diagonalDown="0">
      <x:bottom style="thin">
        <x:color rgb="FFD0D0D0"/>
      </x:bottom>
    </x:border>
    <x:border diagonalUp="0" diagonalDown="0">
      <x:left style="thin">
        <x:color rgb="FFA86432"/>
      </x:left>
      <x:top style="thin">
        <x:color rgb="FFA86432"/>
      </x:top>
    </x:border>
    <x:border diagonalUp="0" diagonalDown="0">
      <x:top style="thin">
        <x:color rgb="FFA86432"/>
      </x:top>
    </x:border>
    <x:border diagonalUp="0" diagonalDown="0">
      <x:right style="thin">
        <x:color rgb="FFA86432"/>
      </x:right>
      <x:top style="thin">
        <x:color rgb="FFA86432"/>
      </x:top>
    </x:border>
    <x:border diagonalUp="0" diagonalDown="0">
      <x:left style="thin">
        <x:color rgb="FFA86432"/>
      </x:left>
      <x:bottom style="thin">
        <x:color rgb="FFA86432"/>
      </x:bottom>
    </x:border>
    <x:border diagonalUp="0" diagonalDown="0">
      <x:bottom style="thin">
        <x:color rgb="FFA86432"/>
      </x:bottom>
    </x:border>
    <x:border diagonalUp="0" diagonalDown="0">
      <x:right style="thin">
        <x:color rgb="FFA86432"/>
      </x:right>
      <x:bottom style="thin">
        <x:color rgb="FFA86432"/>
      </x:bottom>
    </x:border>
    <x:border diagonalUp="0" diagonalDown="0">
      <x:bottom style="thin">
        <x:color rgb="FFD7D1C8"/>
      </x:bottom>
    </x:border>
    <x:border diagonalUp="0" diagonalDown="0">
      <x:left style="thin">
        <x:color rgb="FFA86432"/>
      </x:left>
      <x:top style="thin">
        <x:color rgb="FFA86432"/>
      </x:top>
      <x:bottom style="thin">
        <x:color rgb="FFA86432"/>
      </x:bottom>
    </x:border>
    <x:border diagonalUp="0" diagonalDown="0">
      <x:top style="thin">
        <x:color rgb="FFA86432"/>
      </x:top>
      <x:bottom style="thin">
        <x:color rgb="FFA86432"/>
      </x:bottom>
    </x:border>
    <x:border diagonalUp="0" diagonalDown="0">
      <x:right style="thin">
        <x:color rgb="FFA86432"/>
      </x:right>
      <x:top style="thin">
        <x:color rgb="FFA86432"/>
      </x:top>
      <x:bottom style="thin">
        <x:color rgb="FFA86432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7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8" fillId="2" borderId="0" xfId="0" applyFont="1" applyBorder="0" applyAlignment="0">
      <x:alignment horizontal="general" vertical="bottom" wrapText="0"/>
    </x:xf>
    <x:xf numFmtId="165" fontId="7" fillId="0" borderId="0" xfId="0" applyFont="1" applyBorder="0" applyAlignment="0">
      <x:alignment horizontal="general" vertical="bottom" wrapText="0"/>
    </x:xf>
    <x:xf numFmtId="165" fontId="6" fillId="0" borderId="0" xfId="0" applyFont="1" applyBorder="0" applyAlignment="0">
      <x:alignment horizontal="general" vertical="bottom" wrapText="0"/>
    </x:xf>
    <x:xf numFmtId="164" fontId="5" fillId="0" borderId="0" xfId="0" applyFont="1" applyBorder="1" applyAlignment="1">
      <x:alignment horizontal="general" vertical="top" wrapText="1"/>
    </x:xf>
    <x:xf numFmtId="164" fontId="8" fillId="2" borderId="0" xfId="0" applyFont="1" applyBorder="0" applyAlignment="1">
      <x:alignment horizontal="general" vertical="center" wrapText="1"/>
    </x:xf>
    <x:xf numFmtId="164" fontId="9" fillId="0" borderId="1" xfId="0" applyFont="1" applyBorder="1" applyAlignment="1">
      <x:alignment horizontal="general" vertical="top" wrapText="0"/>
    </x:xf>
    <x:xf numFmtId="164" fontId="7" fillId="0" borderId="1" xfId="0" applyFont="1" applyBorder="1" applyAlignment="1">
      <x:alignment horizontal="general" vertical="top" wrapText="0"/>
    </x:xf>
    <x:xf numFmtId="164" fontId="10" fillId="0" borderId="1" xfId="0" applyFont="1" applyBorder="1" applyAlignment="1">
      <x:alignment horizontal="general" vertical="top" wrapText="0"/>
    </x:xf>
    <x:xf numFmtId="164" fontId="7" fillId="0" borderId="1" xfId="0" applyFont="1" applyBorder="1" applyAlignment="1">
      <x:alignment horizontal="general" vertical="top" wrapText="1"/>
    </x:xf>
    <x:xf numFmtId="164" fontId="9" fillId="3" borderId="1" xfId="0" applyFont="1" applyBorder="1" applyAlignment="1">
      <x:alignment horizontal="general" vertical="top" wrapText="0"/>
    </x:xf>
    <x:xf numFmtId="164" fontId="7" fillId="3" borderId="1" xfId="0" applyFont="1" applyBorder="1" applyAlignment="1">
      <x:alignment horizontal="general" vertical="top" wrapText="0"/>
    </x:xf>
    <x:xf numFmtId="164" fontId="11" fillId="3" borderId="1" xfId="0" applyFont="1" applyBorder="1" applyAlignment="1">
      <x:alignment horizontal="general" vertical="top" wrapText="0"/>
    </x:xf>
    <x:xf numFmtId="164" fontId="7" fillId="3" borderId="1" xfId="0" applyFont="1" applyBorder="1" applyAlignment="1">
      <x:alignment horizontal="general" vertical="top" wrapText="1"/>
    </x:xf>
    <x:xf numFmtId="164" fontId="10" fillId="3" borderId="1" xfId="0" applyFont="1" applyBorder="1" applyAlignment="1">
      <x:alignment horizontal="general" vertical="top" wrapText="0"/>
    </x:xf>
    <x:xf numFmtId="164" fontId="11" fillId="0" borderId="1" xfId="0" applyFont="1" applyBorder="1" applyAlignment="1">
      <x:alignment horizontal="general" vertical="top" wrapText="0"/>
    </x:xf>
    <x:xf numFmtId="164" fontId="12" fillId="0" borderId="1" xfId="0" applyFont="1" applyBorder="1" applyAlignment="1">
      <x:alignment horizontal="general" vertical="top" wrapText="0"/>
    </x:xf>
    <x:xf numFmtId="164" fontId="12" fillId="3" borderId="1" xfId="0" applyFont="1" applyBorder="1" applyAlignment="1">
      <x:alignment horizontal="general" vertical="top" wrapText="0"/>
    </x:xf>
    <x:xf numFmtId="164" fontId="7" fillId="4" borderId="1" xfId="0" applyFont="1" applyBorder="1" applyAlignment="1">
      <x:alignment horizontal="general" vertical="top" wrapText="0"/>
    </x:xf>
    <x:xf numFmtId="164" fontId="12" fillId="4" borderId="1" xfId="0" applyFont="1" applyBorder="1" applyAlignment="1">
      <x:alignment horizontal="general" vertical="top" wrapText="0"/>
    </x:xf>
    <x:xf numFmtId="164" fontId="6" fillId="3" borderId="0" xfId="0" applyFont="1" applyBorder="0" applyAlignment="0">
      <x:alignment horizontal="general" vertical="bottom" wrapText="0"/>
    </x:xf>
    <x:xf numFmtId="164" fontId="5" fillId="3" borderId="0" xfId="0" applyFont="1" applyBorder="1" applyAlignment="1">
      <x:alignment horizontal="general" vertical="top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4" fillId="5" borderId="0" xfId="0" applyNumberFormat="1" applyFont="1" applyFill="1" applyBorder="1" applyAlignment="1">
      <x:alignment horizontal="general" vertical="bottom" wrapText="0"/>
    </x:xf>
    <x:xf numFmtId="164" fontId="14" fillId="5" borderId="0" xfId="0" applyNumberFormat="1" applyFont="1" applyFill="1" applyBorder="1" applyAlignment="1">
      <x:alignment horizontal="general" vertical="center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6" fillId="7" borderId="0" xfId="0" applyNumberFormat="1" applyFont="1" applyFill="1" applyBorder="1" applyAlignment="1">
      <x:alignment horizontal="general" vertical="bottom" wrapText="0"/>
    </x:xf>
    <x:xf numFmtId="164" fontId="16" fillId="7" borderId="0" xfId="0" applyNumberFormat="1" applyFont="1" applyFill="1" applyBorder="1" applyAlignment="1">
      <x:alignment horizontal="left" vertical="bottom" wrapText="0"/>
    </x:xf>
    <x:xf numFmtId="164" fontId="16" fillId="7" borderId="0" xfId="0" applyNumberFormat="1" applyFont="1" applyFill="1" applyBorder="1" applyAlignment="1">
      <x:alignment horizontal="left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7" fillId="8" borderId="0" xfId="0" applyNumberFormat="1" applyFont="1" applyFill="1" applyBorder="1" applyAlignment="1">
      <x:alignment horizontal="general" vertical="bottom" wrapText="0"/>
    </x:xf>
    <x:xf numFmtId="164" fontId="17" fillId="8" borderId="0" xfId="0" applyNumberFormat="1" applyFont="1" applyFill="1" applyBorder="1" applyAlignment="1">
      <x:alignment horizontal="general" vertical="bottom" wrapText="1"/>
    </x:xf>
    <x:xf numFmtId="164" fontId="17" fillId="8" borderId="0" xfId="0" applyNumberFormat="1" applyFont="1" applyFill="1" applyBorder="1" applyAlignment="1">
      <x:alignment horizontal="general" vertical="center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8" fillId="9" borderId="0" xfId="0" applyNumberFormat="1" applyFont="1" applyFill="1" applyBorder="1" applyAlignment="1">
      <x:alignment horizontal="general" vertical="bottom" wrapText="0"/>
    </x:xf>
    <x:xf numFmtId="164" fontId="18" fillId="9" borderId="2" xfId="0" applyNumberFormat="1" applyFont="1" applyFill="1" applyBorder="1" applyAlignment="1">
      <x:alignment horizontal="general" vertical="bottom" wrapText="0"/>
    </x:xf>
    <x:xf numFmtId="164" fontId="18" fillId="9" borderId="3" xfId="0" applyNumberFormat="1" applyFont="1" applyFill="1" applyBorder="1" applyAlignment="1">
      <x:alignment horizontal="general" vertical="bottom" wrapText="0"/>
    </x:xf>
    <x:xf numFmtId="164" fontId="18" fillId="9" borderId="4" xfId="0" applyNumberFormat="1" applyFont="1" applyFill="1" applyBorder="1" applyAlignment="1">
      <x:alignment horizontal="general" vertical="bottom" wrapText="0"/>
    </x:xf>
    <x:xf numFmtId="164" fontId="18" fillId="9" borderId="5" xfId="0" applyNumberFormat="1" applyFont="1" applyFill="1" applyBorder="1" applyAlignment="1">
      <x:alignment horizontal="general" vertical="bottom" wrapText="0"/>
    </x:xf>
    <x:xf numFmtId="164" fontId="18" fillId="9" borderId="6" xfId="0" applyNumberFormat="1" applyFont="1" applyFill="1" applyBorder="1" applyAlignment="1">
      <x:alignment horizontal="general" vertical="bottom" wrapText="0"/>
    </x:xf>
    <x:xf numFmtId="164" fontId="18" fillId="9" borderId="7" xfId="0" applyNumberFormat="1" applyFont="1" applyFill="1" applyBorder="1" applyAlignment="1">
      <x:alignment horizontal="general" vertical="bottom" wrapText="0"/>
    </x:xf>
    <x:xf numFmtId="164" fontId="18" fillId="9" borderId="2" xfId="0" applyNumberFormat="1" applyFont="1" applyFill="1" applyBorder="1" applyAlignment="1">
      <x:alignment horizontal="general" vertical="bottom" wrapText="1"/>
    </x:xf>
    <x:xf numFmtId="164" fontId="18" fillId="9" borderId="3" xfId="0" applyNumberFormat="1" applyFont="1" applyFill="1" applyBorder="1" applyAlignment="1">
      <x:alignment horizontal="general" vertical="bottom" wrapText="1"/>
    </x:xf>
    <x:xf numFmtId="164" fontId="18" fillId="9" borderId="4" xfId="0" applyNumberFormat="1" applyFont="1" applyFill="1" applyBorder="1" applyAlignment="1">
      <x:alignment horizontal="general" vertical="bottom" wrapText="1"/>
    </x:xf>
    <x:xf numFmtId="164" fontId="18" fillId="9" borderId="5" xfId="0" applyNumberFormat="1" applyFont="1" applyFill="1" applyBorder="1" applyAlignment="1">
      <x:alignment horizontal="general" vertical="bottom" wrapText="1"/>
    </x:xf>
    <x:xf numFmtId="164" fontId="18" fillId="9" borderId="6" xfId="0" applyNumberFormat="1" applyFont="1" applyFill="1" applyBorder="1" applyAlignment="1">
      <x:alignment horizontal="general" vertical="bottom" wrapText="1"/>
    </x:xf>
    <x:xf numFmtId="164" fontId="18" fillId="9" borderId="7" xfId="0" applyNumberFormat="1" applyFont="1" applyFill="1" applyBorder="1" applyAlignment="1">
      <x:alignment horizontal="general" vertical="bottom" wrapText="1"/>
    </x:xf>
    <x:xf numFmtId="164" fontId="18" fillId="9" borderId="2" xfId="0" applyNumberFormat="1" applyFont="1" applyFill="1" applyBorder="1" applyAlignment="1">
      <x:alignment horizontal="general" vertical="center" wrapText="1"/>
    </x:xf>
    <x:xf numFmtId="164" fontId="18" fillId="9" borderId="3" xfId="0" applyNumberFormat="1" applyFont="1" applyFill="1" applyBorder="1" applyAlignment="1">
      <x:alignment horizontal="general" vertical="center" wrapText="1"/>
    </x:xf>
    <x:xf numFmtId="164" fontId="18" fillId="9" borderId="4" xfId="0" applyNumberFormat="1" applyFont="1" applyFill="1" applyBorder="1" applyAlignment="1">
      <x:alignment horizontal="general" vertical="center" wrapText="1"/>
    </x:xf>
    <x:xf numFmtId="164" fontId="18" fillId="9" borderId="5" xfId="0" applyNumberFormat="1" applyFont="1" applyFill="1" applyBorder="1" applyAlignment="1">
      <x:alignment horizontal="general" vertical="center" wrapText="1"/>
    </x:xf>
    <x:xf numFmtId="164" fontId="18" fillId="9" borderId="6" xfId="0" applyNumberFormat="1" applyFont="1" applyFill="1" applyBorder="1" applyAlignment="1">
      <x:alignment horizontal="general" vertical="center" wrapText="1"/>
    </x:xf>
    <x:xf numFmtId="164" fontId="18" fillId="9" borderId="7" xfId="0" applyNumberFormat="1" applyFont="1" applyFill="1" applyBorder="1" applyAlignment="1">
      <x:alignment horizontal="general" vertical="center" wrapText="1"/>
    </x:xf>
    <x:xf numFmtId="164" fontId="19" fillId="5" borderId="0" xfId="0" applyNumberFormat="1" applyFont="1" applyFill="1" applyBorder="1" applyAlignment="1">
      <x:alignment horizontal="general" vertical="bottom" wrapText="0"/>
    </x:xf>
    <x:xf numFmtId="164" fontId="19" fillId="5" borderId="0" xfId="0" applyNumberFormat="1" applyFont="1" applyFill="1" applyBorder="1" applyAlignment="1">
      <x:alignment horizontal="left" vertical="bottom" wrapText="0"/>
    </x:xf>
    <x:xf numFmtId="164" fontId="19" fillId="5" borderId="0" xfId="0" applyNumberFormat="1" applyFont="1" applyFill="1" applyBorder="1" applyAlignment="1">
      <x:alignment horizontal="left" vertical="center" wrapText="0"/>
    </x:xf>
    <x:xf numFmtId="164" fontId="17" fillId="0" borderId="0" xfId="0" applyNumberFormat="1" applyFont="1" applyFill="1" applyBorder="1" applyAlignment="1">
      <x:alignment horizontal="general" vertical="bottom" wrapText="0"/>
    </x:xf>
    <x:xf numFmtId="164" fontId="17" fillId="0" borderId="0" xfId="0" applyNumberFormat="1" applyFont="1" applyFill="1" applyBorder="1" applyAlignment="1">
      <x:alignment horizontal="general" vertical="bottom" wrapText="1"/>
    </x:xf>
    <x:xf numFmtId="164" fontId="17" fillId="0" borderId="0" xfId="0" applyNumberFormat="1" applyFont="1" applyFill="1" applyBorder="1" applyAlignment="1">
      <x:alignment horizontal="general" vertical="top" wrapText="1"/>
    </x:xf>
    <x:xf numFmtId="164" fontId="17" fillId="0" borderId="8" xfId="0" applyNumberFormat="1" applyFont="1" applyFill="1" applyBorder="1" applyAlignment="1">
      <x:alignment horizontal="general" vertical="top" wrapText="1"/>
    </x:xf>
    <x:xf numFmtId="164" fontId="20" fillId="6" borderId="0" xfId="0" applyNumberFormat="1" applyFont="1" applyFill="1" applyBorder="1" applyAlignment="1">
      <x:alignment horizontal="general" vertical="bottom" wrapText="0"/>
    </x:xf>
    <x:xf numFmtId="164" fontId="20" fillId="6" borderId="0" xfId="0" applyNumberFormat="1" applyFont="1" applyFill="1" applyBorder="1" applyAlignment="1">
      <x:alignment horizontal="general" vertical="bottom" wrapText="1"/>
    </x:xf>
    <x:xf numFmtId="164" fontId="20" fillId="6" borderId="0" xfId="0" applyNumberFormat="1" applyFont="1" applyFill="1" applyBorder="1" applyAlignment="1">
      <x:alignment horizontal="general" vertical="center" wrapText="1"/>
    </x:xf>
    <x:xf numFmtId="164" fontId="21" fillId="5" borderId="0" xfId="0" applyNumberFormat="1" applyFont="1" applyFill="1" applyBorder="1" applyAlignment="1">
      <x:alignment horizontal="general" vertical="bottom" wrapText="0"/>
    </x:xf>
    <x:xf numFmtId="164" fontId="21" fillId="5" borderId="0" xfId="0" applyNumberFormat="1" applyFont="1" applyFill="1" applyBorder="1" applyAlignment="1">
      <x:alignment horizontal="general" vertical="center" wrapText="0"/>
    </x:xf>
    <x:xf numFmtId="164" fontId="22" fillId="9" borderId="0" xfId="0" applyNumberFormat="1" applyFont="1" applyFill="1" applyBorder="1" applyAlignment="1">
      <x:alignment horizontal="general" vertical="bottom" wrapText="0"/>
    </x:xf>
    <x:xf numFmtId="164" fontId="22" fillId="9" borderId="9" xfId="0" applyNumberFormat="1" applyFont="1" applyFill="1" applyBorder="1" applyAlignment="1">
      <x:alignment horizontal="general" vertical="bottom" wrapText="0"/>
    </x:xf>
    <x:xf numFmtId="164" fontId="22" fillId="9" borderId="10" xfId="0" applyNumberFormat="1" applyFont="1" applyFill="1" applyBorder="1" applyAlignment="1">
      <x:alignment horizontal="general" vertical="bottom" wrapText="0"/>
    </x:xf>
    <x:xf numFmtId="164" fontId="22" fillId="9" borderId="11" xfId="0" applyNumberFormat="1" applyFont="1" applyFill="1" applyBorder="1" applyAlignment="1">
      <x:alignment horizontal="general" vertical="bottom" wrapText="0"/>
    </x:xf>
    <x:xf numFmtId="164" fontId="22" fillId="9" borderId="9" xfId="0" applyNumberFormat="1" applyFont="1" applyFill="1" applyBorder="1" applyAlignment="1">
      <x:alignment horizontal="general" vertical="bottom" wrapText="1"/>
    </x:xf>
    <x:xf numFmtId="164" fontId="22" fillId="9" borderId="10" xfId="0" applyNumberFormat="1" applyFont="1" applyFill="1" applyBorder="1" applyAlignment="1">
      <x:alignment horizontal="general" vertical="bottom" wrapText="1"/>
    </x:xf>
    <x:xf numFmtId="164" fontId="22" fillId="9" borderId="11" xfId="0" applyNumberFormat="1" applyFont="1" applyFill="1" applyBorder="1" applyAlignment="1">
      <x:alignment horizontal="general" vertical="bottom" wrapText="1"/>
    </x:xf>
    <x:xf numFmtId="164" fontId="22" fillId="9" borderId="9" xfId="0" applyNumberFormat="1" applyFont="1" applyFill="1" applyBorder="1" applyAlignment="1">
      <x:alignment horizontal="general" vertical="center" wrapText="1"/>
    </x:xf>
    <x:xf numFmtId="164" fontId="22" fillId="9" borderId="10" xfId="0" applyNumberFormat="1" applyFont="1" applyFill="1" applyBorder="1" applyAlignment="1">
      <x:alignment horizontal="general" vertical="center" wrapText="1"/>
    </x:xf>
    <x:xf numFmtId="164" fontId="22" fillId="9" borderId="11" xfId="0" applyNumberFormat="1" applyFont="1" applyFill="1" applyBorder="1" applyAlignment="1">
      <x:alignment horizontal="general" vertical="center" wrapText="1"/>
    </x:xf>
    <x:xf numFmtId="164" fontId="14" fillId="5" borderId="0" xfId="0" applyNumberFormat="1" applyFont="1" applyFill="1" applyBorder="1" applyAlignment="1">
      <x:alignment horizontal="general" vertical="center" wrapText="1"/>
    </x:xf>
    <x:xf numFmtId="164" fontId="15" fillId="6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6" fillId="7" borderId="0" xfId="0" applyNumberFormat="1" applyFont="1" applyFill="1" applyBorder="1" applyAlignment="1">
      <x:alignment horizontal="left" vertical="center" wrapText="1"/>
    </x:xf>
    <x:xf numFmtId="164" fontId="19" fillId="5" borderId="0" xfId="0" applyNumberFormat="1" applyFont="1" applyFill="1" applyBorder="1" applyAlignment="1">
      <x:alignment horizontal="left" vertical="center" wrapText="1"/>
    </x:xf>
    <x:xf numFmtId="164" fontId="14" fillId="5" borderId="0" xfId="0" applyNumberFormat="1" applyFont="1" applyFill="1" applyBorder="1" applyAlignment="1">
      <x:alignment horizontal="general" vertical="top" wrapText="1"/>
    </x:xf>
    <x:xf numFmtId="164" fontId="15" fillId="6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6" fillId="7" borderId="0" xfId="0" applyNumberFormat="1" applyFont="1" applyFill="1" applyBorder="1" applyAlignment="1">
      <x:alignment horizontal="left" vertical="top" wrapText="1"/>
    </x:xf>
    <x:xf numFmtId="164" fontId="17" fillId="8" borderId="0" xfId="0" applyNumberFormat="1" applyFont="1" applyFill="1" applyBorder="1" applyAlignment="1">
      <x:alignment horizontal="general" vertical="top" wrapText="1"/>
    </x:xf>
    <x:xf numFmtId="164" fontId="18" fillId="9" borderId="2" xfId="0" applyNumberFormat="1" applyFont="1" applyFill="1" applyBorder="1" applyAlignment="1">
      <x:alignment horizontal="general" vertical="top" wrapText="1"/>
    </x:xf>
    <x:xf numFmtId="164" fontId="18" fillId="9" borderId="3" xfId="0" applyNumberFormat="1" applyFont="1" applyFill="1" applyBorder="1" applyAlignment="1">
      <x:alignment horizontal="general" vertical="top" wrapText="1"/>
    </x:xf>
    <x:xf numFmtId="164" fontId="18" fillId="9" borderId="4" xfId="0" applyNumberFormat="1" applyFont="1" applyFill="1" applyBorder="1" applyAlignment="1">
      <x:alignment horizontal="general" vertical="top" wrapText="1"/>
    </x:xf>
    <x:xf numFmtId="164" fontId="18" fillId="9" borderId="5" xfId="0" applyNumberFormat="1" applyFont="1" applyFill="1" applyBorder="1" applyAlignment="1">
      <x:alignment horizontal="general" vertical="top" wrapText="1"/>
    </x:xf>
    <x:xf numFmtId="164" fontId="18" fillId="9" borderId="6" xfId="0" applyNumberFormat="1" applyFont="1" applyFill="1" applyBorder="1" applyAlignment="1">
      <x:alignment horizontal="general" vertical="top" wrapText="1"/>
    </x:xf>
    <x:xf numFmtId="164" fontId="18" fillId="9" borderId="7" xfId="0" applyNumberFormat="1" applyFont="1" applyFill="1" applyBorder="1" applyAlignment="1">
      <x:alignment horizontal="general" vertical="top" wrapText="1"/>
    </x:xf>
    <x:xf numFmtId="164" fontId="19" fillId="5" borderId="0" xfId="0" applyNumberFormat="1" applyFont="1" applyFill="1" applyBorder="1" applyAlignment="1">
      <x:alignment horizontal="left" vertical="top" wrapText="1"/>
    </x:xf>
    <x:xf numFmtId="164" fontId="20" fillId="6" borderId="0" xfId="0" applyNumberFormat="1" applyFont="1" applyFill="1" applyBorder="1" applyAlignment="1">
      <x:alignment horizontal="general" vertical="top" wrapText="1"/>
    </x:xf>
    <x:xf numFmtId="164" fontId="21" fillId="5" borderId="0" xfId="0" applyNumberFormat="1" applyFont="1" applyFill="1" applyBorder="1" applyAlignment="1">
      <x:alignment horizontal="general" vertical="center" wrapText="1"/>
    </x:xf>
    <x:xf numFmtId="164" fontId="21" fillId="5" borderId="0" xfId="0" applyNumberFormat="1" applyFont="1" applyFill="1" applyBorder="1" applyAlignment="1">
      <x:alignment horizontal="general" vertical="top" wrapText="1"/>
    </x:xf>
    <x:xf numFmtId="164" fontId="22" fillId="9" borderId="9" xfId="0" applyNumberFormat="1" applyFont="1" applyFill="1" applyBorder="1" applyAlignment="1">
      <x:alignment horizontal="general" vertical="top" wrapText="1"/>
    </x:xf>
    <x:xf numFmtId="164" fontId="22" fillId="9" borderId="10" xfId="0" applyNumberFormat="1" applyFont="1" applyFill="1" applyBorder="1" applyAlignment="1">
      <x:alignment horizontal="general" vertical="top" wrapText="1"/>
    </x:xf>
    <x:xf numFmtId="164" fontId="22" fillId="9" borderId="11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3">
    <x:dxf>
      <x:fill>
        <x:patternFill>
          <x:bgColor rgb="FF0A0A0A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177F43"/>
        </x:patternFill>
      </x:fill>
    </x:dxf>
    <x:dxf>
      <x:fill>
        <x:patternFill>
          <x:bgColor rgb="FFBE4915"/>
        </x:patternFill>
      </x:fill>
    </x:dxf>
    <x:dxf>
      <x:fill>
        <x:patternFill>
          <x:bgColor rgb="FF6B6B6B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C00000"/>
        </x:patternFill>
      </x:fill>
    </x:dxf>
    <x:dxf>
      <x:font>
        <x:b/>
        <x:color rgb="FF2F6B47"/>
      </x:font>
      <x:fill>
        <x:patternFill patternType="solid">
          <x:bgColor rgb="FFD9EAD3"/>
        </x:patternFill>
      </x:fill>
    </x:dxf>
    <x:dxf>
      <x:font>
        <x:b/>
        <x:color rgb="FF8C3131"/>
      </x:font>
      <x:fill>
        <x:patternFill patternType="solid">
          <x:bgColor rgb="FFF4CCCC"/>
        </x:patternFill>
      </x:fill>
    </x:dxf>
    <x:dxf>
      <x:font>
        <x:b/>
        <x:color rgb="FF2F6B47"/>
      </x:font>
      <x:fill>
        <x:patternFill patternType="solid">
          <x:bgColor rgb="FFD9EAD3"/>
        </x:patternFill>
      </x:fill>
    </x:dxf>
    <x:dxf>
      <x:font>
        <x:b/>
        <x:color rgb="FF8C3131"/>
      </x:font>
      <x:fill>
        <x:patternFill patternType="solid">
          <x:bgColor rgb="FFF4CCCC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C6635"/>
      <x:rgbColor rgb="FF800080"/>
      <x:rgbColor rgb="FF177F43"/>
      <x:rgbColor rgb="FFC79F6B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061DE"/>
      <x:rgbColor rgb="FF33CCCC"/>
      <x:rgbColor rgb="FF99CC00"/>
      <x:rgbColor rgb="FFFFCC00"/>
      <x:rgbColor rgb="FFFF9900"/>
      <x:rgbColor rgb="FFE8672E"/>
      <x:rgbColor rgb="FF6B6B6B"/>
      <x:rgbColor rgb="FF9A9A9A"/>
      <x:rgbColor rgb="FF003366"/>
      <x:rgbColor rgb="FF339966"/>
      <x:rgbColor rgb="FF0C3024"/>
      <x:rgbColor rgb="FF0A0A0A"/>
      <x:rgbColor rgb="FFBE4915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d9ebdeba1437f" /><Relationship Type="http://schemas.openxmlformats.org/officeDocument/2006/relationships/theme" Target="/xl/theme/theme1.xml" Id="R778810e311bc4f1a" /><Relationship Type="http://schemas.openxmlformats.org/officeDocument/2006/relationships/sharedStrings" Target="/xl/sharedStrings.xml" Id="Rc206ef71ac354c9a" /><Relationship Type="http://schemas.openxmlformats.org/officeDocument/2006/relationships/worksheet" Target="/xl/worksheets/sheet1.xml" Id="Rfa05f4e2df3a4645" /><Relationship Type="http://schemas.openxmlformats.org/officeDocument/2006/relationships/worksheet" Target="/xl/worksheets/sheet2.xml" Id="Rb162261970aa4af4" /><Relationship Type="http://schemas.openxmlformats.org/officeDocument/2006/relationships/worksheet" Target="/xl/worksheets/sheet3.xml" Id="R933b882c49e44bd9" /><Relationship Type="http://schemas.openxmlformats.org/officeDocument/2006/relationships/worksheet" Target="/xl/worksheets/sheet4.xml" Id="R4a053e729e394ec1" /><Relationship Type="http://schemas.openxmlformats.org/officeDocument/2006/relationships/worksheet" Target="/xl/worksheets/sheet5.xml" Id="R548cf307aa2546d9" /><Relationship Type="http://schemas.openxmlformats.org/officeDocument/2006/relationships/worksheet" Target="/xl/worksheets/sheet6.xml" Id="R379ee44ca8dc4f75" /><Relationship Type="http://schemas.openxmlformats.org/officeDocument/2006/relationships/worksheet" Target="/xl/worksheets/sheet7.xml" Id="Rbd74f8b00caa4937" /><Relationship Type="http://schemas.openxmlformats.org/officeDocument/2006/relationships/worksheet" Target="/xl/worksheets/sheet8.xml" Id="R2c597e033bda490e" /><Relationship Type="http://schemas.openxmlformats.org/officeDocument/2006/relationships/worksheet" Target="/xl/worksheets/sheet9.xml" Id="Rf9554331246f4ba9" /><Relationship Type="http://schemas.openxmlformats.org/officeDocument/2006/relationships/worksheet" Target="/xl/worksheets/sheet10.xml" Id="R8c2253a2bbae4d22" /><Relationship Type="http://schemas.openxmlformats.org/officeDocument/2006/relationships/worksheet" Target="/xl/worksheets/sheet11.xml" Id="R3427bd9690c14478" /><Relationship Type="http://schemas.openxmlformats.org/officeDocument/2006/relationships/worksheet" Target="/xl/worksheets/sheet12.xml" Id="R4a4651a1c4224ac3" /><Relationship Type="http://schemas.openxmlformats.org/officeDocument/2006/relationships/worksheet" Target="/xl/worksheets/sheet13.xml" Id="Ra94068f3123e4d64" /><Relationship Type="http://schemas.microsoft.com/office/2017/10/relationships/person" Target="/xl/persons/person.xml" Id="R361cd6b9e82d4da6" /></Relationships>
</file>

<file path=xl/persons/person.xml><?xml version="1.0" encoding="utf-8"?>
<xltc:personList xmlns:xltc="http://schemas.microsoft.com/office/spreadsheetml/2018/threadedcomments">
  <xltc:person displayName="Claude" id="{A5DE0E2C-B857-79E3-5B52-DAC257C0DD1A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1.xml" Id="Rd47e750b72a4446d" /><Relationship Type="http://schemas.openxmlformats.org/officeDocument/2006/relationships/vmlDrawing" Target="/xl/drawings/vmldrawing.vml" Id="Rc0d5e25d4a2245e0" /></Relationships>
</file>

<file path=xl/worksheets/sheet1.xml><?xml version="1.0" encoding="utf-8"?>
<x:worksheet xmlns:x="http://schemas.openxmlformats.org/spreadsheetml/2006/main">
  <x:sheetPr>
    <x:tabColor rgb="FF0A0A0A"/>
  </x:sheetPr>
  <x:sheetViews>
    <x:sheetView showGridLines="1" workbookViewId="0"/>
  </x:sheetViews>
  <x:sheetFormatPr defaultColWidth="8.6796875" defaultRowHeight="15"/>
  <x:cols>
    <x:col min="1" max="1" width="26" hidden="0" customWidth="1"/>
    <x:col min="2" max="2" width="104" hidden="0" customWidth="1"/>
  </x:cols>
  <x:sheetData>
    <x:row r="1" ht="19.700000762939453" hidden="0">
      <x:c r="A1" s="1" t="s">
        <x:v>0</x:v>
      </x:c>
    </x:row>
    <x:row r="2" ht="15" hidden="0">
      <x:c r="A2" s="2" t="s">
        <x:v>1</x:v>
      </x:c>
    </x:row>
    <x:row r="4" ht="27.75" hidden="0" customHeight="1">
      <x:c r="A4" s="3" t="s">
        <x:v>2</x:v>
      </x:c>
      <x:c r="B4" s="4" t="s">
        <x:v>3</x:v>
      </x:c>
    </x:row>
    <x:row r="5" ht="27.75" hidden="0" customHeight="1">
      <x:c r="A5" s="3" t="s">
        <x:v>4</x:v>
      </x:c>
      <x:c r="B5" s="4" t="s">
        <x:v>5</x:v>
      </x:c>
    </x:row>
    <x:row r="6" ht="15" hidden="0">
      <x:c r="A6" s="5"/>
      <x:c r="B6" s="4"/>
    </x:row>
    <x:row r="7" ht="15" hidden="0">
      <x:c r="A7" s="3" t="s">
        <x:v>6</x:v>
      </x:c>
      <x:c r="B7" s="4" t="s">
        <x:v>7</x:v>
      </x:c>
    </x:row>
    <x:row r="8" ht="15" hidden="0">
      <x:c r="A8" s="5" t="s">
        <x:v>8</x:v>
      </x:c>
      <x:c r="B8" s="4" t="s">
        <x:v>9</x:v>
      </x:c>
    </x:row>
    <x:row r="9" ht="15" hidden="0">
      <x:c r="A9" s="5" t="s">
        <x:v>10</x:v>
      </x:c>
      <x:c r="B9" s="4" t="s">
        <x:v>11</x:v>
      </x:c>
    </x:row>
    <x:row r="10" ht="27.75" hidden="0" customHeight="1">
      <x:c r="A10" s="5" t="s">
        <x:v>12</x:v>
      </x:c>
      <x:c r="B10" s="4" t="s">
        <x:v>13</x:v>
      </x:c>
    </x:row>
    <x:row r="11" ht="15" hidden="0">
      <x:c r="A11" s="5"/>
      <x:c r="B11" s="4"/>
    </x:row>
    <x:row r="12" ht="15" hidden="0">
      <x:c r="A12" s="3" t="s">
        <x:v>14</x:v>
      </x:c>
      <x:c r="B12" s="4"/>
    </x:row>
    <x:row r="13" ht="15" hidden="0">
      <x:c r="A13" s="5" t="s">
        <x:v>15</x:v>
      </x:c>
      <x:c r="B13" s="4" t="s">
        <x:v>16</x:v>
      </x:c>
    </x:row>
    <x:row r="14" ht="27.75" hidden="0" customHeight="1">
      <x:c r="A14" s="5" t="s">
        <x:v>17</x:v>
      </x:c>
      <x:c r="B14" s="4" t="s">
        <x:v>18</x:v>
      </x:c>
    </x:row>
    <x:row r="15" ht="15" hidden="0">
      <x:c r="A15" s="5" t="s">
        <x:v>19</x:v>
      </x:c>
      <x:c r="B15" s="4" t="s">
        <x:v>20</x:v>
      </x:c>
    </x:row>
    <x:row r="16" ht="15" hidden="0">
      <x:c r="A16" s="5" t="s">
        <x:v>21</x:v>
      </x:c>
      <x:c r="B16" s="4" t="s">
        <x:v>22</x:v>
      </x:c>
    </x:row>
    <x:row r="17" ht="15" hidden="0">
      <x:c r="A17" s="5"/>
      <x:c r="B17" s="4"/>
    </x:row>
    <x:row r="18" ht="27.75" hidden="0" customHeight="1">
      <x:c r="A18" s="3" t="s">
        <x:v>23</x:v>
      </x:c>
      <x:c r="B18" s="4" t="s">
        <x:v>24</x:v>
      </x:c>
    </x:row>
    <x:row r="19" ht="15" hidden="0">
      <x:c r="A19" s="5"/>
      <x:c r="B19" s="4"/>
    </x:row>
    <x:row r="20" ht="27.75" hidden="0" customHeight="1">
      <x:c r="A20" s="3" t="s">
        <x:v>25</x:v>
      </x:c>
      <x:c r="B20" s="4" t="s">
        <x:v>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79F6B"/>
  </x:sheetPr>
  <x:sheetViews>
    <x:sheetView showGridLines="1" workbookViewId="0"/>
  </x:sheetViews>
  <x:sheetFormatPr defaultColWidth="8.6796875" defaultRowHeight="15"/>
  <x:cols>
    <x:col min="1" max="1" width="30" hidden="0" customWidth="1"/>
    <x:col min="2" max="4" width="14" hidden="0" customWidth="1"/>
    <x:col min="5" max="5" width="62" hidden="0" customWidth="1"/>
  </x:cols>
  <x:sheetData>
    <x:row r="1" ht="19.700000762939453" hidden="0">
      <x:c r="A1" s="1" t="s">
        <x:v>27</x:v>
      </x:c>
    </x:row>
    <x:row r="2" ht="15" hidden="0">
      <x:c r="A2" s="2" t="s">
        <x:v>28</x:v>
      </x:c>
    </x:row>
    <x:row r="4" ht="23.850000381469727" hidden="0">
      <x:c r="A4" s="3" t="s">
        <x:v>29</x:v>
      </x:c>
      <x:c r="E4" s="6" t="s">
        <x:v>30</x:v>
      </x:c>
    </x:row>
    <x:row r="5" ht="15" hidden="0">
      <x:c r="A5" s="7"/>
      <x:c r="B5" s="7" t="s">
        <x:v>31</x:v>
      </x:c>
      <x:c r="C5" s="7" t="s">
        <x:v>32</x:v>
      </x:c>
    </x:row>
    <x:row r="6" ht="15" hidden="0">
      <x:c r="A6" s="5" t="s">
        <x:v>33</x:v>
      </x:c>
      <x:c r="B6" s="5" t="n">
        <x:f aca="0">COUNTIF(IA!I$5:I$139,A6)</x:f>
        <x:v>51</x:v>
      </x:c>
      <x:c r="C6" s="8" t="n">
        <x:f aca="0">IFERROR(B6/$B$10,0)</x:f>
        <x:v>0.37777777777777777</x:v>
      </x:c>
    </x:row>
    <x:row r="7" ht="15" hidden="0">
      <x:c r="A7" s="5" t="s">
        <x:v>34</x:v>
      </x:c>
      <x:c r="B7" s="5" t="n">
        <x:f aca="0">COUNTIF(IA!I$5:I$139,A7)</x:f>
        <x:v>82</x:v>
      </x:c>
      <x:c r="C7" s="8" t="n">
        <x:f aca="0">IFERROR(B7/$B$10,0)</x:f>
        <x:v>0.6074074074074074</x:v>
      </x:c>
    </x:row>
    <x:row r="8" ht="15" hidden="0">
      <x:c r="A8" s="5" t="s">
        <x:v>35</x:v>
      </x:c>
      <x:c r="B8" s="5" t="n">
        <x:f aca="0">COUNTIF(IA!I$5:I$139,A8)</x:f>
        <x:v>2</x:v>
      </x:c>
      <x:c r="C8" s="8" t="n">
        <x:f aca="0">IFERROR(B8/$B$10,0)</x:f>
        <x:v>0.014814814814814815</x:v>
      </x:c>
    </x:row>
    <x:row r="9" ht="15" hidden="0">
      <x:c r="A9" s="5" t="s">
        <x:v>36</x:v>
      </x:c>
      <x:c r="B9" s="5" t="n">
        <x:f aca="0">COUNTIF(IA!I$5:I$139,A9)</x:f>
        <x:v>0</x:v>
      </x:c>
      <x:c r="C9" s="8" t="n">
        <x:f aca="0">IFERROR(B9/$B$10,0)</x:f>
        <x:v>0</x:v>
      </x:c>
    </x:row>
    <x:row r="10" ht="15" hidden="0">
      <x:c r="A10" s="3" t="s">
        <x:v>37</x:v>
      </x:c>
      <x:c r="B10" s="3" t="n">
        <x:f aca="0">SUM(B6:B9)</x:f>
        <x:v>135</x:v>
      </x:c>
      <x:c r="C10" s="9" t="n">
        <x:f aca="0">IFERROR(B10/$B$10,0)</x:f>
        <x:v>1</x:v>
      </x:c>
    </x:row>
    <x:row r="12" ht="35.04999923706055" hidden="0">
      <x:c r="A12" s="3" t="s">
        <x:v>38</x:v>
      </x:c>
      <x:c r="E12" s="6" t="s">
        <x:v>39</x:v>
      </x:c>
    </x:row>
    <x:row r="13" ht="15" hidden="0">
      <x:c r="A13" s="7"/>
      <x:c r="B13" s="7" t="s">
        <x:v>31</x:v>
      </x:c>
      <x:c r="C13" s="7" t="s">
        <x:v>32</x:v>
      </x:c>
    </x:row>
    <x:row r="14" ht="15" hidden="0">
      <x:c r="A14" s="5" t="s">
        <x:v>40</x:v>
      </x:c>
      <x:c r="B14" s="5" t="n">
        <x:f aca="0">COUNTIF(IA!E$5:E$139,A14)</x:f>
        <x:v>51</x:v>
      </x:c>
      <x:c r="C14" s="8" t="n">
        <x:f aca="0">IFERROR(B14/$B$19,0)</x:f>
        <x:v>0.37777777777777777</x:v>
      </x:c>
    </x:row>
    <x:row r="15" ht="15" hidden="0">
      <x:c r="A15" s="5" t="s">
        <x:v>41</x:v>
      </x:c>
      <x:c r="B15" s="5" t="n">
        <x:f aca="0">COUNTIF(IA!E$5:E$139,A15)</x:f>
        <x:v>18</x:v>
      </x:c>
      <x:c r="C15" s="8" t="n">
        <x:f aca="0">IFERROR(B15/$B$19,0)</x:f>
        <x:v>0.13333333333333333</x:v>
      </x:c>
    </x:row>
    <x:row r="16" ht="15" hidden="0">
      <x:c r="A16" s="5" t="s">
        <x:v>42</x:v>
      </x:c>
      <x:c r="B16" s="5" t="n">
        <x:f aca="0">COUNTIF(IA!E$5:E$139,A16)</x:f>
        <x:v>3</x:v>
      </x:c>
      <x:c r="C16" s="8" t="n">
        <x:f aca="0">IFERROR(B16/$B$19,0)</x:f>
        <x:v>0.022222222222222223</x:v>
      </x:c>
    </x:row>
    <x:row r="17" ht="15" hidden="0">
      <x:c r="A17" s="5" t="s">
        <x:v>43</x:v>
      </x:c>
      <x:c r="B17" s="5" t="n">
        <x:f aca="0">COUNTIF(IA!E$5:E$139,A17)</x:f>
        <x:v>26</x:v>
      </x:c>
      <x:c r="C17" s="8" t="n">
        <x:f aca="0">IFERROR(B17/$B$19,0)</x:f>
        <x:v>0.1925925925925926</x:v>
      </x:c>
    </x:row>
    <x:row r="18" ht="15" hidden="0">
      <x:c r="A18" s="5" t="s">
        <x:v>44</x:v>
      </x:c>
      <x:c r="B18" s="5" t="n">
        <x:f aca="0">COUNTIF(IA!E$5:E$139,A18)</x:f>
        <x:v>37</x:v>
      </x:c>
      <x:c r="C18" s="8" t="n">
        <x:f aca="0">IFERROR(B18/$B$19,0)</x:f>
        <x:v>0.2740740740740741</x:v>
      </x:c>
    </x:row>
    <x:row r="19" ht="15" hidden="0">
      <x:c r="A19" s="3" t="s">
        <x:v>37</x:v>
      </x:c>
      <x:c r="B19" s="3" t="n">
        <x:f aca="0">SUM(B14:B18)</x:f>
        <x:v>135</x:v>
      </x:c>
      <x:c r="C19" s="9" t="n">
        <x:f aca="0">IFERROR(B19/$B$19,0)</x:f>
        <x:v>1</x:v>
      </x:c>
    </x:row>
    <x:row r="21" ht="15" hidden="0">
      <x:c r="A21" s="3" t="s">
        <x:v>45</x:v>
      </x:c>
    </x:row>
    <x:row r="22" ht="15" hidden="0">
      <x:c r="A22" s="7"/>
      <x:c r="B22" s="7" t="s">
        <x:v>31</x:v>
      </x:c>
      <x:c r="C22" s="7" t="s">
        <x:v>32</x:v>
      </x:c>
    </x:row>
    <x:row r="23" ht="15" hidden="0">
      <x:c r="A23" s="5" t="s">
        <x:v>46</x:v>
      </x:c>
      <x:c r="B23" s="5" t="n">
        <x:f aca="0">COUNTIF(IA!C$5:C$139,A23)</x:f>
        <x:v>37</x:v>
      </x:c>
      <x:c r="C23" s="8" t="n">
        <x:f aca="0">IFERROR(B23/$B$29,0)</x:f>
        <x:v>0.2740740740740741</x:v>
      </x:c>
    </x:row>
    <x:row r="24" ht="15" hidden="0">
      <x:c r="A24" s="5" t="s">
        <x:v>47</x:v>
      </x:c>
      <x:c r="B24" s="5" t="n">
        <x:f aca="0">COUNTIF(IA!C$5:C$139,A24)</x:f>
        <x:v>7</x:v>
      </x:c>
      <x:c r="C24" s="8" t="n">
        <x:f aca="0">IFERROR(B24/$B$29,0)</x:f>
        <x:v>0.05185185185185185</x:v>
      </x:c>
    </x:row>
    <x:row r="25" ht="15" hidden="0">
      <x:c r="A25" s="5" t="s">
        <x:v>48</x:v>
      </x:c>
      <x:c r="B25" s="5" t="n">
        <x:f aca="0">COUNTIF(IA!C$5:C$139,A25)</x:f>
        <x:v>18</x:v>
      </x:c>
      <x:c r="C25" s="8" t="n">
        <x:f aca="0">IFERROR(B25/$B$29,0)</x:f>
        <x:v>0.13333333333333333</x:v>
      </x:c>
    </x:row>
    <x:row r="26" ht="15" hidden="0">
      <x:c r="A26" s="5" t="s">
        <x:v>49</x:v>
      </x:c>
      <x:c r="B26" s="5" t="n">
        <x:f aca="0">COUNTIF(IA!C$5:C$139,A26)</x:f>
        <x:v>2</x:v>
      </x:c>
      <x:c r="C26" s="8" t="n">
        <x:f aca="0">IFERROR(B26/$B$29,0)</x:f>
        <x:v>0.014814814814814815</x:v>
      </x:c>
    </x:row>
    <x:row r="27" ht="15" hidden="0">
      <x:c r="A27" s="5" t="s">
        <x:v>43</x:v>
      </x:c>
      <x:c r="B27" s="5" t="n">
        <x:f aca="0">COUNTIF(IA!C$5:C$139,A27)</x:f>
        <x:v>42</x:v>
      </x:c>
      <x:c r="C27" s="8" t="n">
        <x:f aca="0">IFERROR(B27/$B$29,0)</x:f>
        <x:v>0.3111111111111111</x:v>
      </x:c>
    </x:row>
    <x:row r="28" ht="15" hidden="0">
      <x:c r="A28" s="5" t="s">
        <x:v>50</x:v>
      </x:c>
      <x:c r="B28" s="5" t="n">
        <x:f aca="0">COUNTIF(IA!C$5:C$139,A28)</x:f>
        <x:v>29</x:v>
      </x:c>
      <x:c r="C28" s="8" t="n">
        <x:f aca="0">IFERROR(B28/$B$29,0)</x:f>
        <x:v>0.21481481481481482</x:v>
      </x:c>
    </x:row>
    <x:row r="29" ht="15" hidden="0">
      <x:c r="A29" s="3" t="s">
        <x:v>37</x:v>
      </x:c>
      <x:c r="B29" s="3" t="n">
        <x:f aca="0">SUM(B23:B28)</x:f>
        <x:v>135</x:v>
      </x:c>
      <x:c r="C29" s="9" t="n">
        <x:f aca="0">IFERROR(B29/$B$29,0)</x:f>
        <x:v>1</x:v>
      </x:c>
    </x:row>
    <x:row r="31" ht="15" hidden="0">
      <x:c r="A31" s="3" t="s">
        <x:v>51</x:v>
      </x:c>
    </x:row>
    <x:row r="32" ht="15" hidden="0">
      <x:c r="A32" s="5" t="s">
        <x:v>52</x:v>
      </x:c>
      <x:c r="B32" s="5" t="n">
        <x:f aca="0">COUNTIFS(IA!$E$5:$E$139,"public",IA!$I$5:$I$139,"Built")</x:f>
        <x:v>41</x:v>
      </x:c>
      <x:c r="E32" s="6" t="s">
        <x:v>53</x:v>
      </x:c>
    </x:row>
    <x:row r="33" ht="23.850000381469727" hidden="0">
      <x:c r="A33" s="5" t="s">
        <x:v>54</x:v>
      </x:c>
      <x:c r="B33" s="5" t="n">
        <x:f aca="0">COUNTIFS(IA!$E$5:$E$139,"public",IA!$I$5:$I$139,"Scaffold")</x:f>
        <x:v>8</x:v>
      </x:c>
      <x:c r="E33" s="6" t="s">
        <x:v>55</x:v>
      </x:c>
    </x:row>
    <x:row r="34" ht="23.850000381469727" hidden="0">
      <x:c r="A34" s="5" t="s">
        <x:v>56</x:v>
      </x:c>
      <x:c r="B34" s="5" t="n">
        <x:f aca="0">COUNTIF(IA!$F$5:$F$139,"yes")</x:f>
        <x:v>51</x:v>
      </x:c>
      <x:c r="E34" s="6" t="s">
        <x:v>57</x:v>
      </x:c>
    </x:row>
    <x:row r="35" ht="15" hidden="0">
      <x:c r="A35" s="5" t="s">
        <x:v>58</x:v>
      </x:c>
      <x:c r="B35" s="5" t="n">
        <x:f aca="0">COUNTIFS(IA!$L$5:$L$139,"&lt;&gt;",IA!$E$5:$E$139,"office")</x:f>
        <x:v>37</x:v>
      </x:c>
      <x:c r="E35" s="6" t="s">
        <x:v>59</x:v>
      </x:c>
    </x:row>
    <x:row r="36" ht="15" hidden="0">
      <x:c r="A36" s="5" t="s">
        <x:v>60</x:v>
      </x:c>
      <x:c r="B36" s="5" t="n">
        <x:f aca="0">COUNTIF(IA!$M$5:$M$139,"&lt;&gt;")</x:f>
        <x:v>29</x:v>
      </x:c>
      <x:c r="E36" s="6" t="s">
        <x:v>61</x:v>
      </x:c>
    </x:row>
    <x:row r="37" ht="15" hidden="0">
      <x:c r="A37" s="5" t="s">
        <x:v>62</x:v>
      </x:c>
      <x:c r="B37" s="5" t="n">
        <x:f aca="0">COUNTIF(IA!$N$5:$N$139,"&lt;&gt;")</x:f>
        <x:v>27</x:v>
      </x:c>
      <x:c r="E37" s="6" t="s">
        <x:v>63</x:v>
      </x:c>
    </x:row>
    <x:row r="39" ht="15" hidden="0">
      <x:c r="A39" s="3" t="s">
        <x:v>64</x:v>
      </x:c>
    </x:row>
    <x:row r="40" ht="15" hidden="0">
      <x:c r="A40" s="5" t="s">
        <x:v>65</x:v>
      </x:c>
      <x:c r="B40" s="5" t="n">
        <x:f aca="0">COUNTIF(Popups!$F$5:$F$40,"Built")</x:f>
        <x:v>2</x:v>
      </x:c>
    </x:row>
    <x:row r="41" ht="15" hidden="0">
      <x:c r="A41" s="5" t="s">
        <x:v>66</x:v>
      </x:c>
      <x:c r="B41" s="5" t="n">
        <x:f aca="0">COUNTIF(Popups!$F$5:$F$40,"N/A")</x:f>
        <x:v>1</x:v>
      </x:c>
    </x:row>
    <x:row r="42" ht="15" hidden="0">
      <x:c r="A42" s="5" t="s">
        <x:v>67</x:v>
      </x:c>
      <x:c r="B42" s="5" t="n">
        <x:f aca="0">COUNTIF(Popups!$F$5:$F$40,"Not built")</x:f>
        <x:v>7</x:v>
      </x:c>
    </x:row>
    <x:row r="43" ht="15" hidden="0">
      <x:c r="A43" s="5" t="s">
        <x:v>68</x:v>
      </x:c>
      <x:c r="B43" s="5" t="n">
        <x:f aca="0">COUNTIF(Notifications!$G$5:$G$60,"Live")</x:f>
        <x:v>1</x:v>
      </x:c>
    </x:row>
    <x:row r="44" ht="15" hidden="0">
      <x:c r="A44" s="5" t="s">
        <x:v>69</x:v>
      </x:c>
      <x:c r="B44" s="5" t="n">
        <x:f aca="0">COUNTIF(Notifications!$G$5:$G$60,"Not built")</x:f>
        <x:v>16</x:v>
      </x:c>
    </x:row>
    <x:row r="45" ht="15" hidden="0">
      <x:c r="A45" s="5" t="s">
        <x:v>70</x:v>
      </x:c>
      <x:c r="B45" s="5" t="n">
        <x:f aca="0">COUNTIF(Emails!$G$5:$G$60,"Live")</x:f>
        <x:v>2</x:v>
      </x:c>
    </x:row>
    <x:row r="46" ht="15" hidden="0">
      <x:c r="A46" s="5" t="s">
        <x:v>71</x:v>
      </x:c>
      <x:c r="B46" s="5" t="n">
        <x:f aca="0">COUNTIF(Emails!$G$5:$G$60,"Not built")</x:f>
        <x:v>16</x:v>
      </x:c>
    </x:row>
    <x:row r="47" ht="15" hidden="0">
      <x:c r="A47" s="5" t="s">
        <x:v>72</x:v>
      </x:c>
      <x:c r="B47" s="5" t="n">
        <x:f aca="0">COUNTIF(Gaps!$G$5:$G$60,"Open")</x:f>
        <x:v>18</x:v>
      </x:c>
    </x:row>
    <x:row r="48" ht="15" hidden="0">
      <x:c r="A48" s="5" t="s">
        <x:v>73</x:v>
      </x:c>
      <x:c r="B48" s="5" t="n">
        <x:f aca="0">COUNTIF(Decisions!$H$5:$H$60,"Open")</x:f>
        <x:v>19</x:v>
      </x:c>
    </x:row>
    <x:row r="49" ht="15" hidden="0">
      <x:c r="A49" s="5" t="s">
        <x:v>74</x:v>
      </x:c>
      <x:c r="B49" s="5" t="n">
        <x:f aca="0">COUNTIF(Assets!$I$5:$I$80,"Not supplied")</x:f>
        <x:v>24</x:v>
      </x:c>
    </x:row>
    <x:row r="50" ht="15" hidden="0">
      <x:c r="A50" s="5" t="s">
        <x:v>75</x:v>
      </x:c>
      <x:c r="B50" s="5" t="n">
        <x:f aca="0">COUNTIF(Domain!$D$5:$D$120,"object")+COUNTIF(Domain!$D$5:$D$120,"field")+COUNTIF(Domain!$D$5:$D$120,"derived")+COUNTIF(Domain!$D$5:$D$120,"code")+COUNTIF(Domain!$D$5:$D$120,"registered")+COUNTIF(Domain!$D$5:$D$120,"outOfScope")</x:f>
        <x:v>76</x:v>
      </x:c>
    </x:row>
    <x:row r="51" ht="15" hidden="0">
      <x:c r="A51" s="5" t="s">
        <x:v>76</x:v>
      </x:c>
      <x:c r="B51" s="5" t="n">
        <x:f aca="0">COUNTIF(Domain!$D$5:$D$120,"object")+COUNTIF(Domain!$D$5:$D$120,"field")</x:f>
        <x:v>25</x:v>
      </x:c>
    </x:row>
    <x:row r="52" ht="15" hidden="0">
      <x:c r="A52" s="5" t="s">
        <x:v>77</x:v>
      </x:c>
      <x:c r="B52" s="5" t="n">
        <x:f aca="0">COUNTIF(Domain!$D$5:$D$120,"derived")+COUNTIF(Domain!$D$5:$D$120,"code")</x:f>
        <x:v>10</x:v>
      </x:c>
    </x:row>
    <x:row r="53" ht="15" hidden="0">
      <x:c r="A53" s="5" t="s">
        <x:v>78</x:v>
      </x:c>
      <x:c r="B53" s="5" t="n">
        <x:f aca="0">COUNTIF(Domain!$D$5:$D$120,"registered")</x:f>
        <x:v>38</x:v>
      </x:c>
    </x:row>
    <x:row r="54" ht="15" hidden="0">
      <x:c r="A54" s="5" t="s">
        <x:v>79</x:v>
      </x:c>
      <x:c r="B54" s="5" t="n">
        <x:f aca="0">COUNTIF(Domain!$D$5:$D$120,"outOfScope")</x:f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61DE"/>
  </x:sheetPr>
  <x:sheetViews>
    <x:sheetView showGridLines="1" workbookViewId="0"/>
  </x:sheetViews>
  <x:sheetFormatPr defaultColWidth="8.6796875" defaultRowHeight="15"/>
  <x:cols>
    <x:col min="1" max="1" width="34" hidden="0" customWidth="1"/>
    <x:col min="2" max="2" width="26" hidden="0" customWidth="1"/>
    <x:col min="3" max="4" width="10" hidden="0" customWidth="1"/>
    <x:col min="5" max="5" width="11" hidden="0" customWidth="1"/>
    <x:col min="6" max="6" width="10" hidden="0" customWidth="1"/>
    <x:col min="7" max="7" width="9" hidden="0" customWidth="1"/>
    <x:col min="8" max="8" width="26" hidden="0" customWidth="1"/>
    <x:col min="9" max="9" width="11" hidden="0" customWidth="1"/>
    <x:col min="10" max="10" width="20" hidden="0" customWidth="1"/>
    <x:col min="11" max="11" width="14" hidden="0" customWidth="1"/>
    <x:col min="12" max="12" width="20" hidden="0" customWidth="1"/>
    <x:col min="13" max="13" width="12" hidden="0" customWidth="1"/>
    <x:col min="14" max="14" width="46" hidden="0" customWidth="1"/>
    <x:col min="15" max="15" width="62" hidden="0" customWidth="1"/>
  </x:cols>
  <x:sheetData>
    <x:row r="1" ht="19.700000762939453" hidden="0">
      <x:c r="A1" s="1" t="s">
        <x:v>80</x:v>
      </x:c>
    </x:row>
    <x:row r="2" ht="30" hidden="0" customHeight="1">
      <x:c r="A2" s="10" t="s">
        <x:v>81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7.75" hidden="0" customHeight="1">
      <x:c r="A4" s="11" t="s">
        <x:v>82</x:v>
      </x:c>
      <x:c r="B4" s="11" t="s">
        <x:v>83</x:v>
      </x:c>
      <x:c r="C4" s="11" t="s">
        <x:v>84</x:v>
      </x:c>
      <x:c r="D4" s="11" t="s">
        <x:v>85</x:v>
      </x:c>
      <x:c r="E4" s="11" t="s">
        <x:v>86</x:v>
      </x:c>
      <x:c r="F4" s="11" t="s">
        <x:v>56</x:v>
      </x:c>
      <x:c r="G4" s="11" t="s">
        <x:v>87</x:v>
      </x:c>
      <x:c r="H4" s="11" t="s">
        <x:v>88</x:v>
      </x:c>
      <x:c r="I4" s="11" t="s">
        <x:v>89</x:v>
      </x:c>
      <x:c r="J4" s="11" t="s">
        <x:v>90</x:v>
      </x:c>
      <x:c r="K4" s="11" t="s">
        <x:v>91</x:v>
      </x:c>
      <x:c r="L4" s="11" t="s">
        <x:v>92</x:v>
      </x:c>
      <x:c r="M4" s="11" t="s">
        <x:v>93</x:v>
      </x:c>
      <x:c r="N4" s="11" t="s">
        <x:v>94</x:v>
      </x:c>
      <x:c r="O4" s="11" t="s">
        <x:v>95</x:v>
      </x:c>
    </x:row>
    <x:row r="5" ht="15" hidden="0">
      <x:c r="A5" s="12" t="s">
        <x:v>96</x:v>
      </x:c>
      <x:c r="B5" s="13" t="s">
        <x:v>97</x:v>
      </x:c>
      <x:c r="C5" s="13" t="s">
        <x:v>46</x:v>
      </x:c>
      <x:c r="D5" s="13" t="s">
        <x:v>46</x:v>
      </x:c>
      <x:c r="E5" s="13" t="s">
        <x:v>40</x:v>
      </x:c>
      <x:c r="F5" s="13" t="s">
        <x:v>98</x:v>
      </x:c>
      <x:c r="G5" s="13" t="s">
        <x:v>99</x:v>
      </x:c>
      <x:c r="H5" s="13" t="s">
        <x:v>100</x:v>
      </x:c>
      <x:c r="I5" s="14" t="s">
        <x:v>33</x:v>
      </x:c>
      <x:c r="J5" s="13" t="s">
        <x:v>101</x:v>
      </x:c>
      <x:c r="K5" s="13" t="s">
        <x:v>102</x:v>
      </x:c>
      <x:c r="L5" s="13"/>
      <x:c r="M5" s="13"/>
      <x:c r="N5" s="15"/>
      <x:c r="O5" s="15" t="s">
        <x:v>103</x:v>
      </x:c>
    </x:row>
    <x:row r="6" ht="23.850000381469727" hidden="0">
      <x:c r="A6" s="16" t="s">
        <x:v>104</x:v>
      </x:c>
      <x:c r="B6" s="17" t="s">
        <x:v>105</x:v>
      </x:c>
      <x:c r="C6" s="17" t="s">
        <x:v>46</x:v>
      </x:c>
      <x:c r="D6" s="17" t="s">
        <x:v>46</x:v>
      </x:c>
      <x:c r="E6" s="17" t="s">
        <x:v>40</x:v>
      </x:c>
      <x:c r="F6" s="17" t="s">
        <x:v>98</x:v>
      </x:c>
      <x:c r="G6" s="17" t="s">
        <x:v>106</x:v>
      </x:c>
      <x:c r="H6" s="17" t="s">
        <x:v>107</x:v>
      </x:c>
      <x:c r="I6" s="18" t="s">
        <x:v>34</x:v>
      </x:c>
      <x:c r="J6" s="17" t="s">
        <x:v>108</x:v>
      </x:c>
      <x:c r="K6" s="17"/>
      <x:c r="L6" s="17"/>
      <x:c r="M6" s="17"/>
      <x:c r="N6" s="19"/>
      <x:c r="O6" s="19" t="s">
        <x:v>109</x:v>
      </x:c>
    </x:row>
    <x:row r="7" ht="23.850000381469727" hidden="0">
      <x:c r="A7" s="12" t="s">
        <x:v>110</x:v>
      </x:c>
      <x:c r="B7" s="13" t="s">
        <x:v>111</x:v>
      </x:c>
      <x:c r="C7" s="13" t="s">
        <x:v>46</x:v>
      </x:c>
      <x:c r="D7" s="13" t="s">
        <x:v>46</x:v>
      </x:c>
      <x:c r="E7" s="13" t="s">
        <x:v>40</x:v>
      </x:c>
      <x:c r="F7" s="13" t="s">
        <x:v>98</x:v>
      </x:c>
      <x:c r="G7" s="13" t="s">
        <x:v>106</x:v>
      </x:c>
      <x:c r="H7" s="13" t="s">
        <x:v>107</x:v>
      </x:c>
      <x:c r="I7" s="13" t="s">
        <x:v>35</x:v>
      </x:c>
      <x:c r="J7" s="13"/>
      <x:c r="K7" s="13"/>
      <x:c r="L7" s="13"/>
      <x:c r="M7" s="13"/>
      <x:c r="N7" s="15"/>
      <x:c r="O7" s="15" t="s">
        <x:v>112</x:v>
      </x:c>
    </x:row>
    <x:row r="8" ht="23.850000381469727" hidden="0">
      <x:c r="A8" s="16" t="s">
        <x:v>113</x:v>
      </x:c>
      <x:c r="B8" s="17" t="s">
        <x:v>114</x:v>
      </x:c>
      <x:c r="C8" s="17" t="s">
        <x:v>46</x:v>
      </x:c>
      <x:c r="D8" s="17" t="s">
        <x:v>46</x:v>
      </x:c>
      <x:c r="E8" s="17" t="s">
        <x:v>40</x:v>
      </x:c>
      <x:c r="F8" s="17" t="s">
        <x:v>98</x:v>
      </x:c>
      <x:c r="G8" s="17" t="s">
        <x:v>106</x:v>
      </x:c>
      <x:c r="H8" s="17" t="s">
        <x:v>107</x:v>
      </x:c>
      <x:c r="I8" s="17" t="s">
        <x:v>35</x:v>
      </x:c>
      <x:c r="J8" s="17"/>
      <x:c r="K8" s="17"/>
      <x:c r="L8" s="17"/>
      <x:c r="M8" s="17"/>
      <x:c r="N8" s="19"/>
      <x:c r="O8" s="19" t="s">
        <x:v>115</x:v>
      </x:c>
    </x:row>
    <x:row r="9" ht="15" hidden="0">
      <x:c r="A9" s="12" t="s">
        <x:v>116</x:v>
      </x:c>
      <x:c r="B9" s="13" t="s">
        <x:v>117</x:v>
      </x:c>
      <x:c r="C9" s="13" t="s">
        <x:v>46</x:v>
      </x:c>
      <x:c r="D9" s="13" t="s">
        <x:v>46</x:v>
      </x:c>
      <x:c r="E9" s="13" t="s">
        <x:v>40</x:v>
      </x:c>
      <x:c r="F9" s="13" t="s">
        <x:v>98</x:v>
      </x:c>
      <x:c r="G9" s="13" t="s">
        <x:v>118</x:v>
      </x:c>
      <x:c r="H9" s="13" t="s">
        <x:v>119</x:v>
      </x:c>
      <x:c r="I9" s="14" t="s">
        <x:v>33</x:v>
      </x:c>
      <x:c r="J9" s="13" t="s">
        <x:v>117</x:v>
      </x:c>
      <x:c r="K9" s="13" t="s">
        <x:v>120</x:v>
      </x:c>
      <x:c r="L9" s="13"/>
      <x:c r="M9" s="13"/>
      <x:c r="N9" s="15"/>
      <x:c r="O9" s="15"/>
    </x:row>
    <x:row r="10" ht="15" hidden="0">
      <x:c r="A10" s="16" t="s">
        <x:v>121</x:v>
      </x:c>
      <x:c r="B10" s="17" t="s">
        <x:v>122</x:v>
      </x:c>
      <x:c r="C10" s="17" t="s">
        <x:v>46</x:v>
      </x:c>
      <x:c r="D10" s="17" t="s">
        <x:v>46</x:v>
      </x:c>
      <x:c r="E10" s="17" t="s">
        <x:v>40</x:v>
      </x:c>
      <x:c r="F10" s="17" t="s">
        <x:v>98</x:v>
      </x:c>
      <x:c r="G10" s="17" t="s">
        <x:v>99</x:v>
      </x:c>
      <x:c r="H10" s="17" t="s">
        <x:v>100</x:v>
      </x:c>
      <x:c r="I10" s="20" t="s">
        <x:v>33</x:v>
      </x:c>
      <x:c r="J10" s="17" t="s">
        <x:v>122</x:v>
      </x:c>
      <x:c r="K10" s="17" t="s">
        <x:v>102</x:v>
      </x:c>
      <x:c r="L10" s="17"/>
      <x:c r="M10" s="17"/>
      <x:c r="N10" s="19"/>
      <x:c r="O10" s="19" t="s">
        <x:v>123</x:v>
      </x:c>
    </x:row>
    <x:row r="11" ht="15" hidden="0">
      <x:c r="A11" s="12" t="s">
        <x:v>124</x:v>
      </x:c>
      <x:c r="B11" s="13" t="s">
        <x:v>125</x:v>
      </x:c>
      <x:c r="C11" s="13" t="s">
        <x:v>46</x:v>
      </x:c>
      <x:c r="D11" s="13" t="s">
        <x:v>46</x:v>
      </x:c>
      <x:c r="E11" s="13" t="s">
        <x:v>40</x:v>
      </x:c>
      <x:c r="F11" s="13" t="s">
        <x:v>98</x:v>
      </x:c>
      <x:c r="G11" s="13"/>
      <x:c r="H11" s="13"/>
      <x:c r="I11" s="21" t="s">
        <x:v>34</x:v>
      </x:c>
      <x:c r="J11" s="13" t="s">
        <x:v>108</x:v>
      </x:c>
      <x:c r="K11" s="13"/>
      <x:c r="L11" s="13"/>
      <x:c r="M11" s="13"/>
      <x:c r="N11" s="15"/>
      <x:c r="O11" s="15"/>
    </x:row>
    <x:row r="12" ht="57.45000076293945" hidden="0">
      <x:c r="A12" s="16" t="s">
        <x:v>126</x:v>
      </x:c>
      <x:c r="B12" s="17" t="s">
        <x:v>127</x:v>
      </x:c>
      <x:c r="C12" s="17" t="s">
        <x:v>46</x:v>
      </x:c>
      <x:c r="D12" s="17" t="s">
        <x:v>46</x:v>
      </x:c>
      <x:c r="E12" s="17" t="s">
        <x:v>40</x:v>
      </x:c>
      <x:c r="F12" s="17" t="s">
        <x:v>98</x:v>
      </x:c>
      <x:c r="G12" s="17"/>
      <x:c r="H12" s="17"/>
      <x:c r="I12" s="18" t="s">
        <x:v>34</x:v>
      </x:c>
      <x:c r="J12" s="17" t="s">
        <x:v>108</x:v>
      </x:c>
      <x:c r="K12" s="17"/>
      <x:c r="L12" s="17"/>
      <x:c r="M12" s="17"/>
      <x:c r="N12" s="19"/>
      <x:c r="O12" s="19" t="s">
        <x:v>128</x:v>
      </x:c>
    </x:row>
    <x:row r="13" ht="15" hidden="0">
      <x:c r="A13" s="12" t="s">
        <x:v>129</x:v>
      </x:c>
      <x:c r="B13" s="13" t="s">
        <x:v>130</x:v>
      </x:c>
      <x:c r="C13" s="13" t="s">
        <x:v>46</x:v>
      </x:c>
      <x:c r="D13" s="13" t="s">
        <x:v>46</x:v>
      </x:c>
      <x:c r="E13" s="13" t="s">
        <x:v>40</x:v>
      </x:c>
      <x:c r="F13" s="13" t="s">
        <x:v>98</x:v>
      </x:c>
      <x:c r="G13" s="13" t="s">
        <x:v>131</x:v>
      </x:c>
      <x:c r="H13" s="13" t="s">
        <x:v>132</x:v>
      </x:c>
      <x:c r="I13" s="14" t="s">
        <x:v>33</x:v>
      </x:c>
      <x:c r="J13" s="13" t="s">
        <x:v>133</x:v>
      </x:c>
      <x:c r="K13" s="13" t="s">
        <x:v>46</x:v>
      </x:c>
      <x:c r="L13" s="13"/>
      <x:c r="M13" s="13"/>
      <x:c r="N13" s="15"/>
      <x:c r="O13" s="15"/>
    </x:row>
    <x:row r="14" ht="46.25" hidden="0">
      <x:c r="A14" s="16" t="s">
        <x:v>134</x:v>
      </x:c>
      <x:c r="B14" s="17" t="s">
        <x:v>135</x:v>
      </x:c>
      <x:c r="C14" s="17" t="s">
        <x:v>46</x:v>
      </x:c>
      <x:c r="D14" s="17" t="s">
        <x:v>46</x:v>
      </x:c>
      <x:c r="E14" s="17" t="s">
        <x:v>40</x:v>
      </x:c>
      <x:c r="F14" s="17" t="s">
        <x:v>98</x:v>
      </x:c>
      <x:c r="G14" s="17" t="s">
        <x:v>99</x:v>
      </x:c>
      <x:c r="H14" s="17" t="s">
        <x:v>100</x:v>
      </x:c>
      <x:c r="I14" s="20" t="s">
        <x:v>33</x:v>
      </x:c>
      <x:c r="J14" s="17" t="s">
        <x:v>136</x:v>
      </x:c>
      <x:c r="K14" s="17" t="s">
        <x:v>102</x:v>
      </x:c>
      <x:c r="L14" s="17"/>
      <x:c r="M14" s="17"/>
      <x:c r="N14" s="19"/>
      <x:c r="O14" s="19" t="s">
        <x:v>137</x:v>
      </x:c>
    </x:row>
    <x:row r="15" ht="15" hidden="0">
      <x:c r="A15" s="12" t="s">
        <x:v>138</x:v>
      </x:c>
      <x:c r="B15" s="13" t="s">
        <x:v>139</x:v>
      </x:c>
      <x:c r="C15" s="13" t="s">
        <x:v>46</x:v>
      </x:c>
      <x:c r="D15" s="13" t="s">
        <x:v>46</x:v>
      </x:c>
      <x:c r="E15" s="13" t="s">
        <x:v>40</x:v>
      </x:c>
      <x:c r="F15" s="13" t="s">
        <x:v>98</x:v>
      </x:c>
      <x:c r="G15" s="13" t="s">
        <x:v>99</x:v>
      </x:c>
      <x:c r="H15" s="13" t="s">
        <x:v>100</x:v>
      </x:c>
      <x:c r="I15" s="14" t="s">
        <x:v>33</x:v>
      </x:c>
      <x:c r="J15" s="13" t="s">
        <x:v>140</x:v>
      </x:c>
      <x:c r="K15" s="13" t="s">
        <x:v>102</x:v>
      </x:c>
      <x:c r="L15" s="13"/>
      <x:c r="M15" s="13"/>
      <x:c r="N15" s="15"/>
      <x:c r="O15" s="15" t="s">
        <x:v>141</x:v>
      </x:c>
    </x:row>
    <x:row r="16" ht="23.850000381469727" hidden="0">
      <x:c r="A16" s="16" t="s">
        <x:v>142</x:v>
      </x:c>
      <x:c r="B16" s="17" t="s">
        <x:v>143</x:v>
      </x:c>
      <x:c r="C16" s="17" t="s">
        <x:v>46</x:v>
      </x:c>
      <x:c r="D16" s="17" t="s">
        <x:v>46</x:v>
      </x:c>
      <x:c r="E16" s="17" t="s">
        <x:v>40</x:v>
      </x:c>
      <x:c r="F16" s="17" t="s">
        <x:v>98</x:v>
      </x:c>
      <x:c r="G16" s="17" t="s">
        <x:v>99</x:v>
      </x:c>
      <x:c r="H16" s="17" t="s">
        <x:v>100</x:v>
      </x:c>
      <x:c r="I16" s="20" t="s">
        <x:v>33</x:v>
      </x:c>
      <x:c r="J16" s="17" t="s">
        <x:v>144</x:v>
      </x:c>
      <x:c r="K16" s="17" t="s">
        <x:v>102</x:v>
      </x:c>
      <x:c r="L16" s="17"/>
      <x:c r="M16" s="17"/>
      <x:c r="N16" s="19"/>
      <x:c r="O16" s="19" t="s">
        <x:v>145</x:v>
      </x:c>
    </x:row>
    <x:row r="17" ht="35.04999923706055" hidden="0">
      <x:c r="A17" s="12" t="s">
        <x:v>146</x:v>
      </x:c>
      <x:c r="B17" s="13" t="s">
        <x:v>147</x:v>
      </x:c>
      <x:c r="C17" s="13" t="s">
        <x:v>46</x:v>
      </x:c>
      <x:c r="D17" s="13" t="s">
        <x:v>46</x:v>
      </x:c>
      <x:c r="E17" s="13" t="s">
        <x:v>40</x:v>
      </x:c>
      <x:c r="F17" s="13" t="s">
        <x:v>98</x:v>
      </x:c>
      <x:c r="G17" s="13" t="s">
        <x:v>99</x:v>
      </x:c>
      <x:c r="H17" s="13" t="s">
        <x:v>100</x:v>
      </x:c>
      <x:c r="I17" s="14" t="s">
        <x:v>33</x:v>
      </x:c>
      <x:c r="J17" s="13" t="s">
        <x:v>148</x:v>
      </x:c>
      <x:c r="K17" s="13" t="s">
        <x:v>102</x:v>
      </x:c>
      <x:c r="L17" s="13"/>
      <x:c r="M17" s="13"/>
      <x:c r="N17" s="15"/>
      <x:c r="O17" s="15" t="s">
        <x:v>149</x:v>
      </x:c>
    </x:row>
    <x:row r="18" ht="23.850000381469727" hidden="0">
      <x:c r="A18" s="16" t="s">
        <x:v>150</x:v>
      </x:c>
      <x:c r="B18" s="17" t="s">
        <x:v>151</x:v>
      </x:c>
      <x:c r="C18" s="17" t="s">
        <x:v>46</x:v>
      </x:c>
      <x:c r="D18" s="17" t="s">
        <x:v>46</x:v>
      </x:c>
      <x:c r="E18" s="17" t="s">
        <x:v>40</x:v>
      </x:c>
      <x:c r="F18" s="17" t="s">
        <x:v>98</x:v>
      </x:c>
      <x:c r="G18" s="17" t="s">
        <x:v>99</x:v>
      </x:c>
      <x:c r="H18" s="17" t="s">
        <x:v>100</x:v>
      </x:c>
      <x:c r="I18" s="20" t="s">
        <x:v>33</x:v>
      </x:c>
      <x:c r="J18" s="17" t="s">
        <x:v>152</x:v>
      </x:c>
      <x:c r="K18" s="17" t="s">
        <x:v>102</x:v>
      </x:c>
      <x:c r="L18" s="17"/>
      <x:c r="M18" s="17"/>
      <x:c r="N18" s="19"/>
      <x:c r="O18" s="19" t="s">
        <x:v>153</x:v>
      </x:c>
    </x:row>
    <x:row r="19" ht="15" hidden="0">
      <x:c r="A19" s="12" t="s">
        <x:v>154</x:v>
      </x:c>
      <x:c r="B19" s="13" t="s">
        <x:v>155</x:v>
      </x:c>
      <x:c r="C19" s="13" t="s">
        <x:v>46</x:v>
      </x:c>
      <x:c r="D19" s="13" t="s">
        <x:v>46</x:v>
      </x:c>
      <x:c r="E19" s="13" t="s">
        <x:v>40</x:v>
      </x:c>
      <x:c r="F19" s="13" t="s">
        <x:v>98</x:v>
      </x:c>
      <x:c r="G19" s="13" t="s">
        <x:v>156</x:v>
      </x:c>
      <x:c r="H19" s="13" t="s">
        <x:v>157</x:v>
      </x:c>
      <x:c r="I19" s="14" t="s">
        <x:v>33</x:v>
      </x:c>
      <x:c r="J19" s="13" t="s">
        <x:v>155</x:v>
      </x:c>
      <x:c r="K19" s="13" t="s">
        <x:v>120</x:v>
      </x:c>
      <x:c r="L19" s="13"/>
      <x:c r="M19" s="13"/>
      <x:c r="N19" s="15"/>
      <x:c r="O19" s="15"/>
    </x:row>
    <x:row r="20" ht="35.04999923706055" hidden="0">
      <x:c r="A20" s="16" t="s">
        <x:v>158</x:v>
      </x:c>
      <x:c r="B20" s="17" t="s">
        <x:v>159</x:v>
      </x:c>
      <x:c r="C20" s="17" t="s">
        <x:v>46</x:v>
      </x:c>
      <x:c r="D20" s="17" t="s">
        <x:v>46</x:v>
      </x:c>
      <x:c r="E20" s="17" t="s">
        <x:v>40</x:v>
      </x:c>
      <x:c r="F20" s="17" t="s">
        <x:v>98</x:v>
      </x:c>
      <x:c r="G20" s="17" t="s">
        <x:v>99</x:v>
      </x:c>
      <x:c r="H20" s="17" t="s">
        <x:v>100</x:v>
      </x:c>
      <x:c r="I20" s="20" t="s">
        <x:v>33</x:v>
      </x:c>
      <x:c r="J20" s="17" t="s">
        <x:v>160</x:v>
      </x:c>
      <x:c r="K20" s="17" t="s">
        <x:v>102</x:v>
      </x:c>
      <x:c r="L20" s="17"/>
      <x:c r="M20" s="17"/>
      <x:c r="N20" s="19"/>
      <x:c r="O20" s="19" t="s">
        <x:v>161</x:v>
      </x:c>
    </x:row>
    <x:row r="21" ht="15" hidden="0">
      <x:c r="A21" s="12" t="s">
        <x:v>162</x:v>
      </x:c>
      <x:c r="B21" s="13" t="s">
        <x:v>163</x:v>
      </x:c>
      <x:c r="C21" s="13" t="s">
        <x:v>46</x:v>
      </x:c>
      <x:c r="D21" s="13" t="s">
        <x:v>46</x:v>
      </x:c>
      <x:c r="E21" s="13" t="s">
        <x:v>40</x:v>
      </x:c>
      <x:c r="F21" s="13" t="s">
        <x:v>98</x:v>
      </x:c>
      <x:c r="G21" s="13" t="s">
        <x:v>164</x:v>
      </x:c>
      <x:c r="H21" s="13" t="s">
        <x:v>163</x:v>
      </x:c>
      <x:c r="I21" s="14" t="s">
        <x:v>33</x:v>
      </x:c>
      <x:c r="J21" s="13" t="s">
        <x:v>165</x:v>
      </x:c>
      <x:c r="K21" s="13" t="s">
        <x:v>166</x:v>
      </x:c>
      <x:c r="L21" s="13"/>
      <x:c r="M21" s="13"/>
      <x:c r="N21" s="15"/>
      <x:c r="O21" s="15" t="s">
        <x:v>167</x:v>
      </x:c>
    </x:row>
    <x:row r="22" ht="15" hidden="0">
      <x:c r="A22" s="16" t="s">
        <x:v>168</x:v>
      </x:c>
      <x:c r="B22" s="17" t="s">
        <x:v>169</x:v>
      </x:c>
      <x:c r="C22" s="17" t="s">
        <x:v>46</x:v>
      </x:c>
      <x:c r="D22" s="17" t="s">
        <x:v>46</x:v>
      </x:c>
      <x:c r="E22" s="17" t="s">
        <x:v>40</x:v>
      </x:c>
      <x:c r="F22" s="17" t="s">
        <x:v>98</x:v>
      </x:c>
      <x:c r="G22" s="17" t="s">
        <x:v>164</x:v>
      </x:c>
      <x:c r="H22" s="17" t="s">
        <x:v>163</x:v>
      </x:c>
      <x:c r="I22" s="20" t="s">
        <x:v>33</x:v>
      </x:c>
      <x:c r="J22" s="17" t="s">
        <x:v>170</x:v>
      </x:c>
      <x:c r="K22" s="17" t="s">
        <x:v>166</x:v>
      </x:c>
      <x:c r="L22" s="17"/>
      <x:c r="M22" s="17" t="s">
        <x:v>171</x:v>
      </x:c>
      <x:c r="N22" s="19"/>
      <x:c r="O22" s="19" t="s">
        <x:v>172</x:v>
      </x:c>
    </x:row>
    <x:row r="23" ht="15" hidden="0">
      <x:c r="A23" s="12" t="s">
        <x:v>173</x:v>
      </x:c>
      <x:c r="B23" s="13" t="s">
        <x:v>174</x:v>
      </x:c>
      <x:c r="C23" s="13" t="s">
        <x:v>46</x:v>
      </x:c>
      <x:c r="D23" s="13" t="s">
        <x:v>46</x:v>
      </x:c>
      <x:c r="E23" s="13" t="s">
        <x:v>40</x:v>
      </x:c>
      <x:c r="F23" s="13" t="s">
        <x:v>98</x:v>
      </x:c>
      <x:c r="G23" s="13" t="s">
        <x:v>175</x:v>
      </x:c>
      <x:c r="H23" s="13" t="s">
        <x:v>176</x:v>
      </x:c>
      <x:c r="I23" s="14" t="s">
        <x:v>33</x:v>
      </x:c>
      <x:c r="J23" s="13" t="s">
        <x:v>177</x:v>
      </x:c>
      <x:c r="K23" s="13" t="s">
        <x:v>166</x:v>
      </x:c>
      <x:c r="L23" s="13"/>
      <x:c r="M23" s="13"/>
      <x:c r="N23" s="15"/>
      <x:c r="O23" s="15" t="s">
        <x:v>178</x:v>
      </x:c>
    </x:row>
    <x:row r="24" ht="23.850000381469727" hidden="0">
      <x:c r="A24" s="16" t="s">
        <x:v>179</x:v>
      </x:c>
      <x:c r="B24" s="17" t="s">
        <x:v>180</x:v>
      </x:c>
      <x:c r="C24" s="17" t="s">
        <x:v>46</x:v>
      </x:c>
      <x:c r="D24" s="17" t="s">
        <x:v>46</x:v>
      </x:c>
      <x:c r="E24" s="17" t="s">
        <x:v>40</x:v>
      </x:c>
      <x:c r="F24" s="17" t="s">
        <x:v>98</x:v>
      </x:c>
      <x:c r="G24" s="17" t="s">
        <x:v>175</x:v>
      </x:c>
      <x:c r="H24" s="17" t="s">
        <x:v>176</x:v>
      </x:c>
      <x:c r="I24" s="20" t="s">
        <x:v>33</x:v>
      </x:c>
      <x:c r="J24" s="17" t="s">
        <x:v>181</x:v>
      </x:c>
      <x:c r="K24" s="17" t="s">
        <x:v>166</x:v>
      </x:c>
      <x:c r="L24" s="17"/>
      <x:c r="M24" s="17"/>
      <x:c r="N24" s="19"/>
      <x:c r="O24" s="19" t="s">
        <x:v>182</x:v>
      </x:c>
    </x:row>
    <x:row r="25" ht="15" hidden="0">
      <x:c r="A25" s="12" t="s">
        <x:v>183</x:v>
      </x:c>
      <x:c r="B25" s="13" t="s">
        <x:v>184</x:v>
      </x:c>
      <x:c r="C25" s="13" t="s">
        <x:v>46</x:v>
      </x:c>
      <x:c r="D25" s="13" t="s">
        <x:v>46</x:v>
      </x:c>
      <x:c r="E25" s="13" t="s">
        <x:v>40</x:v>
      </x:c>
      <x:c r="F25" s="13" t="s">
        <x:v>98</x:v>
      </x:c>
      <x:c r="G25" s="13" t="s">
        <x:v>175</x:v>
      </x:c>
      <x:c r="H25" s="13" t="s">
        <x:v>176</x:v>
      </x:c>
      <x:c r="I25" s="14" t="s">
        <x:v>33</x:v>
      </x:c>
      <x:c r="J25" s="13" t="s">
        <x:v>181</x:v>
      </x:c>
      <x:c r="K25" s="13" t="s">
        <x:v>166</x:v>
      </x:c>
      <x:c r="L25" s="13"/>
      <x:c r="M25" s="13"/>
      <x:c r="N25" s="15"/>
      <x:c r="O25" s="15"/>
    </x:row>
    <x:row r="26" ht="15" hidden="0">
      <x:c r="A26" s="16" t="s">
        <x:v>185</x:v>
      </x:c>
      <x:c r="B26" s="17" t="s">
        <x:v>186</x:v>
      </x:c>
      <x:c r="C26" s="17" t="s">
        <x:v>46</x:v>
      </x:c>
      <x:c r="D26" s="17" t="s">
        <x:v>46</x:v>
      </x:c>
      <x:c r="E26" s="17" t="s">
        <x:v>40</x:v>
      </x:c>
      <x:c r="F26" s="17" t="s">
        <x:v>98</x:v>
      </x:c>
      <x:c r="G26" s="17" t="s">
        <x:v>175</x:v>
      </x:c>
      <x:c r="H26" s="17" t="s">
        <x:v>176</x:v>
      </x:c>
      <x:c r="I26" s="20" t="s">
        <x:v>33</x:v>
      </x:c>
      <x:c r="J26" s="17" t="s">
        <x:v>181</x:v>
      </x:c>
      <x:c r="K26" s="17" t="s">
        <x:v>166</x:v>
      </x:c>
      <x:c r="L26" s="17"/>
      <x:c r="M26" s="17"/>
      <x:c r="N26" s="19"/>
      <x:c r="O26" s="19"/>
    </x:row>
    <x:row r="27" ht="15" hidden="0">
      <x:c r="A27" s="12" t="s">
        <x:v>187</x:v>
      </x:c>
      <x:c r="B27" s="13" t="s">
        <x:v>188</x:v>
      </x:c>
      <x:c r="C27" s="13" t="s">
        <x:v>46</x:v>
      </x:c>
      <x:c r="D27" s="13" t="s">
        <x:v>46</x:v>
      </x:c>
      <x:c r="E27" s="13" t="s">
        <x:v>40</x:v>
      </x:c>
      <x:c r="F27" s="13" t="s">
        <x:v>98</x:v>
      </x:c>
      <x:c r="G27" s="13" t="s">
        <x:v>175</x:v>
      </x:c>
      <x:c r="H27" s="13" t="s">
        <x:v>176</x:v>
      </x:c>
      <x:c r="I27" s="14" t="s">
        <x:v>33</x:v>
      </x:c>
      <x:c r="J27" s="13" t="s">
        <x:v>181</x:v>
      </x:c>
      <x:c r="K27" s="13" t="s">
        <x:v>166</x:v>
      </x:c>
      <x:c r="L27" s="13"/>
      <x:c r="M27" s="13"/>
      <x:c r="N27" s="15"/>
      <x:c r="O27" s="15" t="s">
        <x:v>189</x:v>
      </x:c>
    </x:row>
    <x:row r="28" ht="15" hidden="0">
      <x:c r="A28" s="16" t="s">
        <x:v>190</x:v>
      </x:c>
      <x:c r="B28" s="17" t="s">
        <x:v>191</x:v>
      </x:c>
      <x:c r="C28" s="17" t="s">
        <x:v>46</x:v>
      </x:c>
      <x:c r="D28" s="17" t="s">
        <x:v>46</x:v>
      </x:c>
      <x:c r="E28" s="17" t="s">
        <x:v>40</x:v>
      </x:c>
      <x:c r="F28" s="17" t="s">
        <x:v>98</x:v>
      </x:c>
      <x:c r="G28" s="17" t="s">
        <x:v>175</x:v>
      </x:c>
      <x:c r="H28" s="17" t="s">
        <x:v>176</x:v>
      </x:c>
      <x:c r="I28" s="20" t="s">
        <x:v>33</x:v>
      </x:c>
      <x:c r="J28" s="17" t="s">
        <x:v>181</x:v>
      </x:c>
      <x:c r="K28" s="17" t="s">
        <x:v>166</x:v>
      </x:c>
      <x:c r="L28" s="17"/>
      <x:c r="M28" s="17"/>
      <x:c r="N28" s="19"/>
      <x:c r="O28" s="19"/>
    </x:row>
    <x:row r="29" ht="15" hidden="0">
      <x:c r="A29" s="12" t="s">
        <x:v>192</x:v>
      </x:c>
      <x:c r="B29" s="13" t="s">
        <x:v>193</x:v>
      </x:c>
      <x:c r="C29" s="13" t="s">
        <x:v>46</x:v>
      </x:c>
      <x:c r="D29" s="13" t="s">
        <x:v>46</x:v>
      </x:c>
      <x:c r="E29" s="13" t="s">
        <x:v>40</x:v>
      </x:c>
      <x:c r="F29" s="13" t="s">
        <x:v>98</x:v>
      </x:c>
      <x:c r="G29" s="13" t="s">
        <x:v>175</x:v>
      </x:c>
      <x:c r="H29" s="13" t="s">
        <x:v>176</x:v>
      </x:c>
      <x:c r="I29" s="14" t="s">
        <x:v>33</x:v>
      </x:c>
      <x:c r="J29" s="13" t="s">
        <x:v>181</x:v>
      </x:c>
      <x:c r="K29" s="13" t="s">
        <x:v>166</x:v>
      </x:c>
      <x:c r="L29" s="13"/>
      <x:c r="M29" s="13"/>
      <x:c r="N29" s="15"/>
      <x:c r="O29" s="15"/>
    </x:row>
    <x:row r="30" ht="15" hidden="0">
      <x:c r="A30" s="16" t="s">
        <x:v>194</x:v>
      </x:c>
      <x:c r="B30" s="17" t="s">
        <x:v>195</x:v>
      </x:c>
      <x:c r="C30" s="17" t="s">
        <x:v>46</x:v>
      </x:c>
      <x:c r="D30" s="17" t="s">
        <x:v>46</x:v>
      </x:c>
      <x:c r="E30" s="17" t="s">
        <x:v>40</x:v>
      </x:c>
      <x:c r="F30" s="17" t="s">
        <x:v>98</x:v>
      </x:c>
      <x:c r="G30" s="17" t="s">
        <x:v>196</x:v>
      </x:c>
      <x:c r="H30" s="17" t="s">
        <x:v>197</x:v>
      </x:c>
      <x:c r="I30" s="18" t="s">
        <x:v>34</x:v>
      </x:c>
      <x:c r="J30" s="17" t="s">
        <x:v>108</x:v>
      </x:c>
      <x:c r="K30" s="17"/>
      <x:c r="L30" s="17"/>
      <x:c r="M30" s="17"/>
      <x:c r="N30" s="19"/>
      <x:c r="O30" s="19"/>
    </x:row>
    <x:row r="31" ht="15" hidden="0">
      <x:c r="A31" s="12" t="s">
        <x:v>198</x:v>
      </x:c>
      <x:c r="B31" s="13" t="s">
        <x:v>199</x:v>
      </x:c>
      <x:c r="C31" s="13" t="s">
        <x:v>46</x:v>
      </x:c>
      <x:c r="D31" s="13" t="s">
        <x:v>46</x:v>
      </x:c>
      <x:c r="E31" s="13" t="s">
        <x:v>40</x:v>
      </x:c>
      <x:c r="F31" s="13" t="s">
        <x:v>98</x:v>
      </x:c>
      <x:c r="G31" s="13" t="s">
        <x:v>200</x:v>
      </x:c>
      <x:c r="H31" s="13" t="s">
        <x:v>201</x:v>
      </x:c>
      <x:c r="I31" s="14" t="s">
        <x:v>33</x:v>
      </x:c>
      <x:c r="J31" s="13" t="s">
        <x:v>202</x:v>
      </x:c>
      <x:c r="K31" s="13" t="s">
        <x:v>120</x:v>
      </x:c>
      <x:c r="L31" s="13"/>
      <x:c r="M31" s="13"/>
      <x:c r="N31" s="15"/>
      <x:c r="O31" s="15"/>
    </x:row>
    <x:row r="32" ht="15" hidden="0">
      <x:c r="A32" s="16" t="s">
        <x:v>203</x:v>
      </x:c>
      <x:c r="B32" s="17" t="s">
        <x:v>204</x:v>
      </x:c>
      <x:c r="C32" s="17" t="s">
        <x:v>46</x:v>
      </x:c>
      <x:c r="D32" s="17" t="s">
        <x:v>46</x:v>
      </x:c>
      <x:c r="E32" s="17" t="s">
        <x:v>40</x:v>
      </x:c>
      <x:c r="F32" s="17" t="s">
        <x:v>98</x:v>
      </x:c>
      <x:c r="G32" s="17" t="s">
        <x:v>205</x:v>
      </x:c>
      <x:c r="H32" s="17" t="s">
        <x:v>206</x:v>
      </x:c>
      <x:c r="I32" s="20" t="s">
        <x:v>33</x:v>
      </x:c>
      <x:c r="J32" s="17" t="s">
        <x:v>207</x:v>
      </x:c>
      <x:c r="K32" s="17" t="s">
        <x:v>120</x:v>
      </x:c>
      <x:c r="L32" s="17"/>
      <x:c r="M32" s="17"/>
      <x:c r="N32" s="19"/>
      <x:c r="O32" s="19"/>
    </x:row>
    <x:row r="33" ht="15" hidden="0">
      <x:c r="A33" s="12" t="s">
        <x:v>208</x:v>
      </x:c>
      <x:c r="B33" s="13" t="s">
        <x:v>209</x:v>
      </x:c>
      <x:c r="C33" s="13" t="s">
        <x:v>46</x:v>
      </x:c>
      <x:c r="D33" s="13" t="s">
        <x:v>46</x:v>
      </x:c>
      <x:c r="E33" s="13" t="s">
        <x:v>40</x:v>
      </x:c>
      <x:c r="F33" s="13" t="s">
        <x:v>98</x:v>
      </x:c>
      <x:c r="G33" s="13" t="s">
        <x:v>205</x:v>
      </x:c>
      <x:c r="H33" s="13" t="s">
        <x:v>206</x:v>
      </x:c>
      <x:c r="I33" s="14" t="s">
        <x:v>33</x:v>
      </x:c>
      <x:c r="J33" s="13" t="s">
        <x:v>210</x:v>
      </x:c>
      <x:c r="K33" s="13" t="s">
        <x:v>120</x:v>
      </x:c>
      <x:c r="L33" s="13"/>
      <x:c r="M33" s="13" t="s">
        <x:v>211</x:v>
      </x:c>
      <x:c r="N33" s="15"/>
      <x:c r="O33" s="15"/>
    </x:row>
    <x:row r="34" ht="35.04999923706055" hidden="0">
      <x:c r="A34" s="16" t="s">
        <x:v>212</x:v>
      </x:c>
      <x:c r="B34" s="17" t="s">
        <x:v>213</x:v>
      </x:c>
      <x:c r="C34" s="17" t="s">
        <x:v>46</x:v>
      </x:c>
      <x:c r="D34" s="17" t="s">
        <x:v>46</x:v>
      </x:c>
      <x:c r="E34" s="17" t="s">
        <x:v>41</x:v>
      </x:c>
      <x:c r="F34" s="17" t="s">
        <x:v>214</x:v>
      </x:c>
      <x:c r="G34" s="17"/>
      <x:c r="H34" s="17"/>
      <x:c r="I34" s="18" t="s">
        <x:v>34</x:v>
      </x:c>
      <x:c r="J34" s="17" t="s">
        <x:v>108</x:v>
      </x:c>
      <x:c r="K34" s="17"/>
      <x:c r="L34" s="17"/>
      <x:c r="M34" s="17"/>
      <x:c r="N34" s="19" t="s">
        <x:v>215</x:v>
      </x:c>
      <x:c r="O34" s="19"/>
    </x:row>
    <x:row r="35" ht="23.850000381469727" hidden="0">
      <x:c r="A35" s="12" t="s">
        <x:v>216</x:v>
      </x:c>
      <x:c r="B35" s="13" t="s">
        <x:v>217</x:v>
      </x:c>
      <x:c r="C35" s="13" t="s">
        <x:v>46</x:v>
      </x:c>
      <x:c r="D35" s="13" t="s">
        <x:v>46</x:v>
      </x:c>
      <x:c r="E35" s="13" t="s">
        <x:v>40</x:v>
      </x:c>
      <x:c r="F35" s="13" t="s">
        <x:v>98</x:v>
      </x:c>
      <x:c r="G35" s="13" t="s">
        <x:v>99</x:v>
      </x:c>
      <x:c r="H35" s="13" t="s">
        <x:v>100</x:v>
      </x:c>
      <x:c r="I35" s="14" t="s">
        <x:v>33</x:v>
      </x:c>
      <x:c r="J35" s="13" t="s">
        <x:v>218</x:v>
      </x:c>
      <x:c r="K35" s="13" t="s">
        <x:v>102</x:v>
      </x:c>
      <x:c r="L35" s="13"/>
      <x:c r="M35" s="13"/>
      <x:c r="N35" s="15"/>
      <x:c r="O35" s="15" t="s">
        <x:v>219</x:v>
      </x:c>
    </x:row>
    <x:row r="36" ht="23.850000381469727" hidden="0">
      <x:c r="A36" s="16" t="s">
        <x:v>220</x:v>
      </x:c>
      <x:c r="B36" s="17" t="s">
        <x:v>221</x:v>
      </x:c>
      <x:c r="C36" s="17" t="s">
        <x:v>46</x:v>
      </x:c>
      <x:c r="D36" s="17" t="s">
        <x:v>46</x:v>
      </x:c>
      <x:c r="E36" s="17" t="s">
        <x:v>40</x:v>
      </x:c>
      <x:c r="F36" s="17" t="s">
        <x:v>98</x:v>
      </x:c>
      <x:c r="G36" s="17" t="s">
        <x:v>99</x:v>
      </x:c>
      <x:c r="H36" s="17" t="s">
        <x:v>100</x:v>
      </x:c>
      <x:c r="I36" s="20" t="s">
        <x:v>33</x:v>
      </x:c>
      <x:c r="J36" s="17" t="s">
        <x:v>221</x:v>
      </x:c>
      <x:c r="K36" s="17" t="s">
        <x:v>102</x:v>
      </x:c>
      <x:c r="L36" s="17"/>
      <x:c r="M36" s="17"/>
      <x:c r="N36" s="19"/>
      <x:c r="O36" s="19" t="s">
        <x:v>222</x:v>
      </x:c>
    </x:row>
    <x:row r="37" ht="15" hidden="0">
      <x:c r="A37" s="12" t="s">
        <x:v>223</x:v>
      </x:c>
      <x:c r="B37" s="13" t="s">
        <x:v>197</x:v>
      </x:c>
      <x:c r="C37" s="13" t="s">
        <x:v>46</x:v>
      </x:c>
      <x:c r="D37" s="13" t="s">
        <x:v>46</x:v>
      </x:c>
      <x:c r="E37" s="13" t="s">
        <x:v>40</x:v>
      </x:c>
      <x:c r="F37" s="13" t="s">
        <x:v>98</x:v>
      </x:c>
      <x:c r="G37" s="13" t="s">
        <x:v>196</x:v>
      </x:c>
      <x:c r="H37" s="13" t="s">
        <x:v>197</x:v>
      </x:c>
      <x:c r="I37" s="21" t="s">
        <x:v>34</x:v>
      </x:c>
      <x:c r="J37" s="13" t="s">
        <x:v>108</x:v>
      </x:c>
      <x:c r="K37" s="13"/>
      <x:c r="L37" s="13"/>
      <x:c r="M37" s="13"/>
      <x:c r="N37" s="15"/>
      <x:c r="O37" s="15"/>
    </x:row>
    <x:row r="38" ht="15" hidden="0">
      <x:c r="A38" s="16" t="s">
        <x:v>224</x:v>
      </x:c>
      <x:c r="B38" s="17" t="s">
        <x:v>225</x:v>
      </x:c>
      <x:c r="C38" s="17" t="s">
        <x:v>46</x:v>
      </x:c>
      <x:c r="D38" s="17" t="s">
        <x:v>46</x:v>
      </x:c>
      <x:c r="E38" s="17" t="s">
        <x:v>40</x:v>
      </x:c>
      <x:c r="F38" s="17" t="s">
        <x:v>98</x:v>
      </x:c>
      <x:c r="G38" s="17" t="s">
        <x:v>226</x:v>
      </x:c>
      <x:c r="H38" s="17" t="s">
        <x:v>227</x:v>
      </x:c>
      <x:c r="I38" s="20" t="s">
        <x:v>33</x:v>
      </x:c>
      <x:c r="J38" s="17" t="s">
        <x:v>225</x:v>
      </x:c>
      <x:c r="K38" s="17" t="s">
        <x:v>120</x:v>
      </x:c>
      <x:c r="L38" s="17"/>
      <x:c r="M38" s="17"/>
      <x:c r="N38" s="19"/>
      <x:c r="O38" s="19"/>
    </x:row>
    <x:row r="39" ht="35.04999923706055" hidden="0">
      <x:c r="A39" s="12" t="s">
        <x:v>228</x:v>
      </x:c>
      <x:c r="B39" s="13" t="s">
        <x:v>229</x:v>
      </x:c>
      <x:c r="C39" s="13" t="s">
        <x:v>46</x:v>
      </x:c>
      <x:c r="D39" s="13" t="s">
        <x:v>46</x:v>
      </x:c>
      <x:c r="E39" s="13" t="s">
        <x:v>40</x:v>
      </x:c>
      <x:c r="F39" s="13" t="s">
        <x:v>98</x:v>
      </x:c>
      <x:c r="G39" s="13" t="s">
        <x:v>99</x:v>
      </x:c>
      <x:c r="H39" s="13" t="s">
        <x:v>100</x:v>
      </x:c>
      <x:c r="I39" s="14" t="s">
        <x:v>33</x:v>
      </x:c>
      <x:c r="J39" s="13" t="s">
        <x:v>230</x:v>
      </x:c>
      <x:c r="K39" s="13" t="s">
        <x:v>102</x:v>
      </x:c>
      <x:c r="L39" s="13"/>
      <x:c r="M39" s="13"/>
      <x:c r="N39" s="15"/>
      <x:c r="O39" s="15" t="s">
        <x:v>231</x:v>
      </x:c>
    </x:row>
    <x:row r="40" ht="35.04999923706055" hidden="0">
      <x:c r="A40" s="16" t="s">
        <x:v>232</x:v>
      </x:c>
      <x:c r="B40" s="17" t="s">
        <x:v>233</x:v>
      </x:c>
      <x:c r="C40" s="17" t="s">
        <x:v>46</x:v>
      </x:c>
      <x:c r="D40" s="17" t="s">
        <x:v>46</x:v>
      </x:c>
      <x:c r="E40" s="17" t="s">
        <x:v>40</x:v>
      </x:c>
      <x:c r="F40" s="17" t="s">
        <x:v>98</x:v>
      </x:c>
      <x:c r="G40" s="17" t="s">
        <x:v>99</x:v>
      </x:c>
      <x:c r="H40" s="17" t="s">
        <x:v>100</x:v>
      </x:c>
      <x:c r="I40" s="20" t="s">
        <x:v>33</x:v>
      </x:c>
      <x:c r="J40" s="17" t="s">
        <x:v>233</x:v>
      </x:c>
      <x:c r="K40" s="17" t="s">
        <x:v>102</x:v>
      </x:c>
      <x:c r="L40" s="17"/>
      <x:c r="M40" s="17"/>
      <x:c r="N40" s="19"/>
      <x:c r="O40" s="19" t="s">
        <x:v>234</x:v>
      </x:c>
    </x:row>
    <x:row r="41" ht="23.850000381469727" hidden="0">
      <x:c r="A41" s="12" t="s">
        <x:v>235</x:v>
      </x:c>
      <x:c r="B41" s="13" t="s">
        <x:v>236</x:v>
      </x:c>
      <x:c r="C41" s="13" t="s">
        <x:v>46</x:v>
      </x:c>
      <x:c r="D41" s="13" t="s">
        <x:v>46</x:v>
      </x:c>
      <x:c r="E41" s="13" t="s">
        <x:v>40</x:v>
      </x:c>
      <x:c r="F41" s="13" t="s">
        <x:v>98</x:v>
      </x:c>
      <x:c r="G41" s="13" t="s">
        <x:v>237</x:v>
      </x:c>
      <x:c r="H41" s="13" t="s">
        <x:v>238</x:v>
      </x:c>
      <x:c r="I41" s="14" t="s">
        <x:v>33</x:v>
      </x:c>
      <x:c r="J41" s="13" t="s">
        <x:v>238</x:v>
      </x:c>
      <x:c r="K41" s="13" t="s">
        <x:v>46</x:v>
      </x:c>
      <x:c r="L41" s="13"/>
      <x:c r="M41" s="13"/>
      <x:c r="N41" s="15"/>
      <x:c r="O41" s="15" t="s">
        <x:v>239</x:v>
      </x:c>
    </x:row>
    <x:row r="42" ht="15" hidden="0">
      <x:c r="A42" s="16" t="s">
        <x:v>240</x:v>
      </x:c>
      <x:c r="B42" s="17" t="s">
        <x:v>241</x:v>
      </x:c>
      <x:c r="C42" s="17" t="s">
        <x:v>47</x:v>
      </x:c>
      <x:c r="D42" s="17" t="s">
        <x:v>47</x:v>
      </x:c>
      <x:c r="E42" s="17" t="s">
        <x:v>40</x:v>
      </x:c>
      <x:c r="F42" s="17" t="s">
        <x:v>98</x:v>
      </x:c>
      <x:c r="G42" s="17" t="s">
        <x:v>242</x:v>
      </x:c>
      <x:c r="H42" s="17" t="s">
        <x:v>243</x:v>
      </x:c>
      <x:c r="I42" s="20" t="s">
        <x:v>33</x:v>
      </x:c>
      <x:c r="J42" s="17" t="s">
        <x:v>244</x:v>
      </x:c>
      <x:c r="K42" s="17" t="s">
        <x:v>46</x:v>
      </x:c>
      <x:c r="L42" s="17"/>
      <x:c r="M42" s="17" t="s">
        <x:v>245</x:v>
      </x:c>
      <x:c r="N42" s="19"/>
      <x:c r="O42" s="19"/>
    </x:row>
    <x:row r="43" ht="35.04999923706055" hidden="0">
      <x:c r="A43" s="12" t="s">
        <x:v>246</x:v>
      </x:c>
      <x:c r="B43" s="13" t="s">
        <x:v>247</x:v>
      </x:c>
      <x:c r="C43" s="13" t="s">
        <x:v>47</x:v>
      </x:c>
      <x:c r="D43" s="13" t="s">
        <x:v>47</x:v>
      </x:c>
      <x:c r="E43" s="13" t="s">
        <x:v>40</x:v>
      </x:c>
      <x:c r="F43" s="13" t="s">
        <x:v>98</x:v>
      </x:c>
      <x:c r="G43" s="13" t="s">
        <x:v>242</x:v>
      </x:c>
      <x:c r="H43" s="13" t="s">
        <x:v>243</x:v>
      </x:c>
      <x:c r="I43" s="14" t="s">
        <x:v>33</x:v>
      </x:c>
      <x:c r="J43" s="13" t="s">
        <x:v>244</x:v>
      </x:c>
      <x:c r="K43" s="13" t="s">
        <x:v>46</x:v>
      </x:c>
      <x:c r="L43" s="13"/>
      <x:c r="M43" s="13" t="s">
        <x:v>245</x:v>
      </x:c>
      <x:c r="N43" s="15"/>
      <x:c r="O43" s="15" t="s">
        <x:v>248</x:v>
      </x:c>
    </x:row>
    <x:row r="44" ht="15" hidden="0">
      <x:c r="A44" s="16" t="s">
        <x:v>249</x:v>
      </x:c>
      <x:c r="B44" s="17" t="s">
        <x:v>155</x:v>
      </x:c>
      <x:c r="C44" s="17" t="s">
        <x:v>47</x:v>
      </x:c>
      <x:c r="D44" s="17" t="s">
        <x:v>47</x:v>
      </x:c>
      <x:c r="E44" s="17" t="s">
        <x:v>40</x:v>
      </x:c>
      <x:c r="F44" s="17" t="s">
        <x:v>98</x:v>
      </x:c>
      <x:c r="G44" s="17" t="s">
        <x:v>250</x:v>
      </x:c>
      <x:c r="H44" s="17" t="s">
        <x:v>251</x:v>
      </x:c>
      <x:c r="I44" s="18" t="s">
        <x:v>34</x:v>
      </x:c>
      <x:c r="J44" s="17" t="s">
        <x:v>108</x:v>
      </x:c>
      <x:c r="K44" s="17"/>
      <x:c r="L44" s="17"/>
      <x:c r="M44" s="17" t="s">
        <x:v>245</x:v>
      </x:c>
      <x:c r="N44" s="19"/>
      <x:c r="O44" s="19"/>
    </x:row>
    <x:row r="45" ht="15" hidden="0">
      <x:c r="A45" s="12" t="s">
        <x:v>252</x:v>
      </x:c>
      <x:c r="B45" s="13" t="s">
        <x:v>253</x:v>
      </x:c>
      <x:c r="C45" s="13" t="s">
        <x:v>47</x:v>
      </x:c>
      <x:c r="D45" s="13" t="s">
        <x:v>47</x:v>
      </x:c>
      <x:c r="E45" s="13" t="s">
        <x:v>40</x:v>
      </x:c>
      <x:c r="F45" s="13" t="s">
        <x:v>98</x:v>
      </x:c>
      <x:c r="G45" s="13" t="s">
        <x:v>254</x:v>
      </x:c>
      <x:c r="H45" s="13" t="s">
        <x:v>255</x:v>
      </x:c>
      <x:c r="I45" s="21" t="s">
        <x:v>34</x:v>
      </x:c>
      <x:c r="J45" s="13" t="s">
        <x:v>108</x:v>
      </x:c>
      <x:c r="K45" s="13"/>
      <x:c r="L45" s="13"/>
      <x:c r="M45" s="13" t="s">
        <x:v>245</x:v>
      </x:c>
      <x:c r="N45" s="15"/>
      <x:c r="O45" s="15"/>
    </x:row>
    <x:row r="46" ht="15" hidden="0">
      <x:c r="A46" s="16" t="s">
        <x:v>256</x:v>
      </x:c>
      <x:c r="B46" s="17" t="s">
        <x:v>221</x:v>
      </x:c>
      <x:c r="C46" s="17" t="s">
        <x:v>47</x:v>
      </x:c>
      <x:c r="D46" s="17" t="s">
        <x:v>47</x:v>
      </x:c>
      <x:c r="E46" s="17" t="s">
        <x:v>40</x:v>
      </x:c>
      <x:c r="F46" s="17" t="s">
        <x:v>98</x:v>
      </x:c>
      <x:c r="G46" s="17" t="s">
        <x:v>242</x:v>
      </x:c>
      <x:c r="H46" s="17" t="s">
        <x:v>243</x:v>
      </x:c>
      <x:c r="I46" s="20" t="s">
        <x:v>33</x:v>
      </x:c>
      <x:c r="J46" s="17" t="s">
        <x:v>244</x:v>
      </x:c>
      <x:c r="K46" s="17" t="s">
        <x:v>46</x:v>
      </x:c>
      <x:c r="L46" s="17"/>
      <x:c r="M46" s="17" t="s">
        <x:v>245</x:v>
      </x:c>
      <x:c r="N46" s="19"/>
      <x:c r="O46" s="19"/>
    </x:row>
    <x:row r="47" ht="15" hidden="0">
      <x:c r="A47" s="12" t="s">
        <x:v>257</x:v>
      </x:c>
      <x:c r="B47" s="13" t="s">
        <x:v>233</x:v>
      </x:c>
      <x:c r="C47" s="13" t="s">
        <x:v>47</x:v>
      </x:c>
      <x:c r="D47" s="13" t="s">
        <x:v>47</x:v>
      </x:c>
      <x:c r="E47" s="13" t="s">
        <x:v>40</x:v>
      </x:c>
      <x:c r="F47" s="13" t="s">
        <x:v>98</x:v>
      </x:c>
      <x:c r="G47" s="13" t="s">
        <x:v>242</x:v>
      </x:c>
      <x:c r="H47" s="13" t="s">
        <x:v>243</x:v>
      </x:c>
      <x:c r="I47" s="14" t="s">
        <x:v>33</x:v>
      </x:c>
      <x:c r="J47" s="13" t="s">
        <x:v>244</x:v>
      </x:c>
      <x:c r="K47" s="13" t="s">
        <x:v>46</x:v>
      </x:c>
      <x:c r="L47" s="13"/>
      <x:c r="M47" s="13" t="s">
        <x:v>245</x:v>
      </x:c>
      <x:c r="N47" s="15"/>
      <x:c r="O47" s="15"/>
    </x:row>
    <x:row r="48" ht="23.850000381469727" hidden="0">
      <x:c r="A48" s="16" t="s">
        <x:v>258</x:v>
      </x:c>
      <x:c r="B48" s="17" t="s">
        <x:v>259</x:v>
      </x:c>
      <x:c r="C48" s="17" t="s">
        <x:v>47</x:v>
      </x:c>
      <x:c r="D48" s="17" t="s">
        <x:v>47</x:v>
      </x:c>
      <x:c r="E48" s="17" t="s">
        <x:v>40</x:v>
      </x:c>
      <x:c r="F48" s="17" t="s">
        <x:v>98</x:v>
      </x:c>
      <x:c r="G48" s="17"/>
      <x:c r="H48" s="17"/>
      <x:c r="I48" s="20" t="s">
        <x:v>33</x:v>
      </x:c>
      <x:c r="J48" s="17" t="s">
        <x:v>260</x:v>
      </x:c>
      <x:c r="K48" s="17" t="s">
        <x:v>261</x:v>
      </x:c>
      <x:c r="L48" s="17"/>
      <x:c r="M48" s="17"/>
      <x:c r="N48" s="19"/>
      <x:c r="O48" s="19" t="s">
        <x:v>262</x:v>
      </x:c>
    </x:row>
    <x:row r="49" ht="15" hidden="0">
      <x:c r="A49" s="12" t="s">
        <x:v>263</x:v>
      </x:c>
      <x:c r="B49" s="13" t="s">
        <x:v>264</x:v>
      </x:c>
      <x:c r="C49" s="13" t="s">
        <x:v>48</x:v>
      </x:c>
      <x:c r="D49" s="13" t="s">
        <x:v>48</x:v>
      </x:c>
      <x:c r="E49" s="13" t="s">
        <x:v>44</x:v>
      </x:c>
      <x:c r="F49" s="13" t="s">
        <x:v>214</x:v>
      </x:c>
      <x:c r="G49" s="13" t="s">
        <x:v>265</x:v>
      </x:c>
      <x:c r="H49" s="13" t="s">
        <x:v>266</x:v>
      </x:c>
      <x:c r="I49" s="21" t="s">
        <x:v>34</x:v>
      </x:c>
      <x:c r="J49" s="13" t="s">
        <x:v>108</x:v>
      </x:c>
      <x:c r="K49" s="13"/>
      <x:c r="L49" s="13" t="s">
        <x:v>267</x:v>
      </x:c>
      <x:c r="M49" s="13"/>
      <x:c r="N49" s="15"/>
      <x:c r="O49" s="15"/>
    </x:row>
    <x:row r="50" ht="15" hidden="0">
      <x:c r="A50" s="16" t="s">
        <x:v>268</x:v>
      </x:c>
      <x:c r="B50" s="17" t="s">
        <x:v>269</x:v>
      </x:c>
      <x:c r="C50" s="17" t="s">
        <x:v>48</x:v>
      </x:c>
      <x:c r="D50" s="17" t="s">
        <x:v>43</x:v>
      </x:c>
      <x:c r="E50" s="17" t="s">
        <x:v>43</x:v>
      </x:c>
      <x:c r="F50" s="17" t="s">
        <x:v>214</x:v>
      </x:c>
      <x:c r="G50" s="17" t="s">
        <x:v>270</x:v>
      </x:c>
      <x:c r="H50" s="17" t="s">
        <x:v>271</x:v>
      </x:c>
      <x:c r="I50" s="18" t="s">
        <x:v>34</x:v>
      </x:c>
      <x:c r="J50" s="17" t="s">
        <x:v>108</x:v>
      </x:c>
      <x:c r="K50" s="17"/>
      <x:c r="L50" s="17" t="s">
        <x:v>272</x:v>
      </x:c>
      <x:c r="M50" s="17"/>
      <x:c r="N50" s="19"/>
      <x:c r="O50" s="19"/>
    </x:row>
    <x:row r="51" ht="15" hidden="0">
      <x:c r="A51" s="12" t="s">
        <x:v>273</x:v>
      </x:c>
      <x:c r="B51" s="13" t="s">
        <x:v>274</x:v>
      </x:c>
      <x:c r="C51" s="13" t="s">
        <x:v>48</x:v>
      </x:c>
      <x:c r="D51" s="13" t="s">
        <x:v>48</x:v>
      </x:c>
      <x:c r="E51" s="13" t="s">
        <x:v>44</x:v>
      </x:c>
      <x:c r="F51" s="13" t="s">
        <x:v>214</x:v>
      </x:c>
      <x:c r="G51" s="13" t="s">
        <x:v>265</x:v>
      </x:c>
      <x:c r="H51" s="13" t="s">
        <x:v>266</x:v>
      </x:c>
      <x:c r="I51" s="21" t="s">
        <x:v>34</x:v>
      </x:c>
      <x:c r="J51" s="13" t="s">
        <x:v>108</x:v>
      </x:c>
      <x:c r="K51" s="13"/>
      <x:c r="L51" s="13" t="s">
        <x:v>275</x:v>
      </x:c>
      <x:c r="M51" s="13"/>
      <x:c r="N51" s="15"/>
      <x:c r="O51" s="15"/>
    </x:row>
    <x:row r="52" ht="15" hidden="0">
      <x:c r="A52" s="16" t="s">
        <x:v>276</x:v>
      </x:c>
      <x:c r="B52" s="17" t="s">
        <x:v>277</x:v>
      </x:c>
      <x:c r="C52" s="17" t="s">
        <x:v>48</x:v>
      </x:c>
      <x:c r="D52" s="17" t="s">
        <x:v>48</x:v>
      </x:c>
      <x:c r="E52" s="17" t="s">
        <x:v>44</x:v>
      </x:c>
      <x:c r="F52" s="17" t="s">
        <x:v>214</x:v>
      </x:c>
      <x:c r="G52" s="17" t="s">
        <x:v>265</x:v>
      </x:c>
      <x:c r="H52" s="17" t="s">
        <x:v>266</x:v>
      </x:c>
      <x:c r="I52" s="18" t="s">
        <x:v>34</x:v>
      </x:c>
      <x:c r="J52" s="17" t="s">
        <x:v>108</x:v>
      </x:c>
      <x:c r="K52" s="17"/>
      <x:c r="L52" s="17" t="s">
        <x:v>275</x:v>
      </x:c>
      <x:c r="M52" s="17" t="s">
        <x:v>278</x:v>
      </x:c>
      <x:c r="N52" s="19"/>
      <x:c r="O52" s="19"/>
    </x:row>
    <x:row r="53" ht="15" hidden="0">
      <x:c r="A53" s="12" t="s">
        <x:v>279</x:v>
      </x:c>
      <x:c r="B53" s="13" t="s">
        <x:v>280</x:v>
      </x:c>
      <x:c r="C53" s="13" t="s">
        <x:v>48</x:v>
      </x:c>
      <x:c r="D53" s="13" t="s">
        <x:v>48</x:v>
      </x:c>
      <x:c r="E53" s="13" t="s">
        <x:v>44</x:v>
      </x:c>
      <x:c r="F53" s="13" t="s">
        <x:v>214</x:v>
      </x:c>
      <x:c r="G53" s="13" t="s">
        <x:v>265</x:v>
      </x:c>
      <x:c r="H53" s="13" t="s">
        <x:v>266</x:v>
      </x:c>
      <x:c r="I53" s="21" t="s">
        <x:v>34</x:v>
      </x:c>
      <x:c r="J53" s="13" t="s">
        <x:v>108</x:v>
      </x:c>
      <x:c r="K53" s="13"/>
      <x:c r="L53" s="13" t="s">
        <x:v>281</x:v>
      </x:c>
      <x:c r="M53" s="13"/>
      <x:c r="N53" s="15"/>
      <x:c r="O53" s="15"/>
    </x:row>
    <x:row r="54" ht="15" hidden="0">
      <x:c r="A54" s="16" t="s">
        <x:v>282</x:v>
      </x:c>
      <x:c r="B54" s="17" t="s">
        <x:v>283</x:v>
      </x:c>
      <x:c r="C54" s="17" t="s">
        <x:v>48</x:v>
      </x:c>
      <x:c r="D54" s="17" t="s">
        <x:v>48</x:v>
      </x:c>
      <x:c r="E54" s="17" t="s">
        <x:v>44</x:v>
      </x:c>
      <x:c r="F54" s="17" t="s">
        <x:v>214</x:v>
      </x:c>
      <x:c r="G54" s="17" t="s">
        <x:v>265</x:v>
      </x:c>
      <x:c r="H54" s="17" t="s">
        <x:v>266</x:v>
      </x:c>
      <x:c r="I54" s="18" t="s">
        <x:v>34</x:v>
      </x:c>
      <x:c r="J54" s="17" t="s">
        <x:v>108</x:v>
      </x:c>
      <x:c r="K54" s="17"/>
      <x:c r="L54" s="17" t="s">
        <x:v>267</x:v>
      </x:c>
      <x:c r="M54" s="17"/>
      <x:c r="N54" s="19"/>
      <x:c r="O54" s="19"/>
    </x:row>
    <x:row r="55" ht="15" hidden="0">
      <x:c r="A55" s="12" t="s">
        <x:v>284</x:v>
      </x:c>
      <x:c r="B55" s="13" t="s">
        <x:v>285</x:v>
      </x:c>
      <x:c r="C55" s="13" t="s">
        <x:v>48</x:v>
      </x:c>
      <x:c r="D55" s="13" t="s">
        <x:v>48</x:v>
      </x:c>
      <x:c r="E55" s="13" t="s">
        <x:v>44</x:v>
      </x:c>
      <x:c r="F55" s="13" t="s">
        <x:v>214</x:v>
      </x:c>
      <x:c r="G55" s="13" t="s">
        <x:v>265</x:v>
      </x:c>
      <x:c r="H55" s="13" t="s">
        <x:v>266</x:v>
      </x:c>
      <x:c r="I55" s="21" t="s">
        <x:v>34</x:v>
      </x:c>
      <x:c r="J55" s="13" t="s">
        <x:v>108</x:v>
      </x:c>
      <x:c r="K55" s="13"/>
      <x:c r="L55" s="13" t="s">
        <x:v>267</x:v>
      </x:c>
      <x:c r="M55" s="13" t="s">
        <x:v>286</x:v>
      </x:c>
      <x:c r="N55" s="15"/>
      <x:c r="O55" s="15"/>
    </x:row>
    <x:row r="56" ht="15" hidden="0">
      <x:c r="A56" s="16" t="s">
        <x:v>287</x:v>
      </x:c>
      <x:c r="B56" s="17" t="s">
        <x:v>288</x:v>
      </x:c>
      <x:c r="C56" s="17" t="s">
        <x:v>48</x:v>
      </x:c>
      <x:c r="D56" s="17" t="s">
        <x:v>48</x:v>
      </x:c>
      <x:c r="E56" s="17" t="s">
        <x:v>44</x:v>
      </x:c>
      <x:c r="F56" s="17" t="s">
        <x:v>214</x:v>
      </x:c>
      <x:c r="G56" s="17" t="s">
        <x:v>289</x:v>
      </x:c>
      <x:c r="H56" s="17" t="s">
        <x:v>290</x:v>
      </x:c>
      <x:c r="I56" s="18" t="s">
        <x:v>34</x:v>
      </x:c>
      <x:c r="J56" s="17" t="s">
        <x:v>108</x:v>
      </x:c>
      <x:c r="K56" s="17"/>
      <x:c r="L56" s="17" t="s">
        <x:v>291</x:v>
      </x:c>
      <x:c r="M56" s="17" t="s">
        <x:v>286</x:v>
      </x:c>
      <x:c r="N56" s="19"/>
      <x:c r="O56" s="19"/>
    </x:row>
    <x:row r="57" ht="15" hidden="0">
      <x:c r="A57" s="12" t="s">
        <x:v>292</x:v>
      </x:c>
      <x:c r="B57" s="13" t="s">
        <x:v>293</x:v>
      </x:c>
      <x:c r="C57" s="13" t="s">
        <x:v>48</x:v>
      </x:c>
      <x:c r="D57" s="13" t="s">
        <x:v>48</x:v>
      </x:c>
      <x:c r="E57" s="13" t="s">
        <x:v>44</x:v>
      </x:c>
      <x:c r="F57" s="13" t="s">
        <x:v>214</x:v>
      </x:c>
      <x:c r="G57" s="13" t="s">
        <x:v>265</x:v>
      </x:c>
      <x:c r="H57" s="13" t="s">
        <x:v>266</x:v>
      </x:c>
      <x:c r="I57" s="21" t="s">
        <x:v>34</x:v>
      </x:c>
      <x:c r="J57" s="13" t="s">
        <x:v>108</x:v>
      </x:c>
      <x:c r="K57" s="13"/>
      <x:c r="L57" s="13" t="s">
        <x:v>294</x:v>
      </x:c>
      <x:c r="M57" s="13" t="s">
        <x:v>286</x:v>
      </x:c>
      <x:c r="N57" s="15"/>
      <x:c r="O57" s="15"/>
    </x:row>
    <x:row r="58" ht="15" hidden="0">
      <x:c r="A58" s="16" t="s">
        <x:v>295</x:v>
      </x:c>
      <x:c r="B58" s="17" t="s">
        <x:v>296</x:v>
      </x:c>
      <x:c r="C58" s="17" t="s">
        <x:v>48</x:v>
      </x:c>
      <x:c r="D58" s="17" t="s">
        <x:v>48</x:v>
      </x:c>
      <x:c r="E58" s="17" t="s">
        <x:v>44</x:v>
      </x:c>
      <x:c r="F58" s="17" t="s">
        <x:v>214</x:v>
      </x:c>
      <x:c r="G58" s="17" t="s">
        <x:v>297</x:v>
      </x:c>
      <x:c r="H58" s="17" t="s">
        <x:v>298</x:v>
      </x:c>
      <x:c r="I58" s="18" t="s">
        <x:v>34</x:v>
      </x:c>
      <x:c r="J58" s="17" t="s">
        <x:v>108</x:v>
      </x:c>
      <x:c r="K58" s="17"/>
      <x:c r="L58" s="17" t="s">
        <x:v>299</x:v>
      </x:c>
      <x:c r="M58" s="17"/>
      <x:c r="N58" s="19"/>
      <x:c r="O58" s="19"/>
    </x:row>
    <x:row r="59" ht="15" hidden="0">
      <x:c r="A59" s="12" t="s">
        <x:v>300</x:v>
      </x:c>
      <x:c r="B59" s="13" t="s">
        <x:v>301</x:v>
      </x:c>
      <x:c r="C59" s="13" t="s">
        <x:v>48</x:v>
      </x:c>
      <x:c r="D59" s="13" t="s">
        <x:v>48</x:v>
      </x:c>
      <x:c r="E59" s="13" t="s">
        <x:v>44</x:v>
      </x:c>
      <x:c r="F59" s="13" t="s">
        <x:v>214</x:v>
      </x:c>
      <x:c r="G59" s="13" t="s">
        <x:v>302</x:v>
      </x:c>
      <x:c r="H59" s="13" t="s">
        <x:v>303</x:v>
      </x:c>
      <x:c r="I59" s="14" t="s">
        <x:v>33</x:v>
      </x:c>
      <x:c r="J59" s="13" t="s">
        <x:v>304</x:v>
      </x:c>
      <x:c r="K59" s="13" t="s">
        <x:v>46</x:v>
      </x:c>
      <x:c r="L59" s="13" t="s">
        <x:v>275</x:v>
      </x:c>
      <x:c r="M59" s="13"/>
      <x:c r="N59" s="15"/>
      <x:c r="O59" s="15"/>
    </x:row>
    <x:row r="60" ht="46.25" hidden="0">
      <x:c r="A60" s="16" t="s">
        <x:v>305</x:v>
      </x:c>
      <x:c r="B60" s="17" t="s">
        <x:v>306</x:v>
      </x:c>
      <x:c r="C60" s="17" t="s">
        <x:v>48</x:v>
      </x:c>
      <x:c r="D60" s="17" t="s">
        <x:v>48</x:v>
      </x:c>
      <x:c r="E60" s="17" t="s">
        <x:v>42</x:v>
      </x:c>
      <x:c r="F60" s="17" t="s">
        <x:v>214</x:v>
      </x:c>
      <x:c r="G60" s="17" t="s">
        <x:v>307</x:v>
      </x:c>
      <x:c r="H60" s="17" t="s">
        <x:v>308</x:v>
      </x:c>
      <x:c r="I60" s="18" t="s">
        <x:v>34</x:v>
      </x:c>
      <x:c r="J60" s="17" t="s">
        <x:v>108</x:v>
      </x:c>
      <x:c r="K60" s="17"/>
      <x:c r="L60" s="17"/>
      <x:c r="M60" s="17" t="s">
        <x:v>309</x:v>
      </x:c>
      <x:c r="N60" s="19" t="s">
        <x:v>310</x:v>
      </x:c>
      <x:c r="O60" s="19"/>
    </x:row>
    <x:row r="61" ht="23.850000381469727" hidden="0">
      <x:c r="A61" s="12" t="s">
        <x:v>311</x:v>
      </x:c>
      <x:c r="B61" s="13" t="s">
        <x:v>312</x:v>
      </x:c>
      <x:c r="C61" s="13" t="s">
        <x:v>48</x:v>
      </x:c>
      <x:c r="D61" s="13" t="s">
        <x:v>48</x:v>
      </x:c>
      <x:c r="E61" s="13" t="s">
        <x:v>42</x:v>
      </x:c>
      <x:c r="F61" s="13" t="s">
        <x:v>214</x:v>
      </x:c>
      <x:c r="G61" s="13" t="s">
        <x:v>313</x:v>
      </x:c>
      <x:c r="H61" s="13" t="s">
        <x:v>314</x:v>
      </x:c>
      <x:c r="I61" s="21" t="s">
        <x:v>34</x:v>
      </x:c>
      <x:c r="J61" s="13" t="s">
        <x:v>108</x:v>
      </x:c>
      <x:c r="K61" s="13"/>
      <x:c r="L61" s="13"/>
      <x:c r="M61" s="13" t="s">
        <x:v>309</x:v>
      </x:c>
      <x:c r="N61" s="15" t="s">
        <x:v>315</x:v>
      </x:c>
      <x:c r="O61" s="15"/>
    </x:row>
    <x:row r="62" ht="23.850000381469727" hidden="0">
      <x:c r="A62" s="16" t="s">
        <x:v>316</x:v>
      </x:c>
      <x:c r="B62" s="17" t="s">
        <x:v>317</x:v>
      </x:c>
      <x:c r="C62" s="17" t="s">
        <x:v>48</x:v>
      </x:c>
      <x:c r="D62" s="17" t="s">
        <x:v>48</x:v>
      </x:c>
      <x:c r="E62" s="17" t="s">
        <x:v>42</x:v>
      </x:c>
      <x:c r="F62" s="17" t="s">
        <x:v>214</x:v>
      </x:c>
      <x:c r="G62" s="17" t="s">
        <x:v>318</x:v>
      </x:c>
      <x:c r="H62" s="17" t="s">
        <x:v>319</x:v>
      </x:c>
      <x:c r="I62" s="18" t="s">
        <x:v>34</x:v>
      </x:c>
      <x:c r="J62" s="17" t="s">
        <x:v>108</x:v>
      </x:c>
      <x:c r="K62" s="17"/>
      <x:c r="L62" s="17"/>
      <x:c r="M62" s="17" t="s">
        <x:v>309</x:v>
      </x:c>
      <x:c r="N62" s="19" t="s">
        <x:v>320</x:v>
      </x:c>
      <x:c r="O62" s="19"/>
    </x:row>
    <x:row r="63" ht="68.6500015258789" hidden="0">
      <x:c r="A63" s="12" t="s">
        <x:v>321</x:v>
      </x:c>
      <x:c r="B63" s="13" t="s">
        <x:v>306</x:v>
      </x:c>
      <x:c r="C63" s="13" t="s">
        <x:v>48</x:v>
      </x:c>
      <x:c r="D63" s="13" t="s">
        <x:v>48</x:v>
      </x:c>
      <x:c r="E63" s="13" t="s">
        <x:v>40</x:v>
      </x:c>
      <x:c r="F63" s="13" t="s">
        <x:v>98</x:v>
      </x:c>
      <x:c r="G63" s="13"/>
      <x:c r="H63" s="13"/>
      <x:c r="I63" s="14" t="s">
        <x:v>33</x:v>
      </x:c>
      <x:c r="J63" s="13" t="s">
        <x:v>306</x:v>
      </x:c>
      <x:c r="K63" s="13" t="s">
        <x:v>261</x:v>
      </x:c>
      <x:c r="L63" s="13"/>
      <x:c r="M63" s="13"/>
      <x:c r="N63" s="15" t="s">
        <x:v>322</x:v>
      </x:c>
      <x:c r="O63" s="15" t="s">
        <x:v>323</x:v>
      </x:c>
    </x:row>
    <x:row r="64" ht="68.6500015258789" hidden="0">
      <x:c r="A64" s="16" t="s">
        <x:v>324</x:v>
      </x:c>
      <x:c r="B64" s="17" t="s">
        <x:v>317</x:v>
      </x:c>
      <x:c r="C64" s="17" t="s">
        <x:v>48</x:v>
      </x:c>
      <x:c r="D64" s="17" t="s">
        <x:v>48</x:v>
      </x:c>
      <x:c r="E64" s="17" t="s">
        <x:v>40</x:v>
      </x:c>
      <x:c r="F64" s="17" t="s">
        <x:v>98</x:v>
      </x:c>
      <x:c r="G64" s="17"/>
      <x:c r="H64" s="17"/>
      <x:c r="I64" s="20" t="s">
        <x:v>33</x:v>
      </x:c>
      <x:c r="J64" s="17" t="s">
        <x:v>325</x:v>
      </x:c>
      <x:c r="K64" s="17" t="s">
        <x:v>261</x:v>
      </x:c>
      <x:c r="L64" s="17"/>
      <x:c r="M64" s="17"/>
      <x:c r="N64" s="19" t="s">
        <x:v>322</x:v>
      </x:c>
      <x:c r="O64" s="19" t="s">
        <x:v>326</x:v>
      </x:c>
    </x:row>
    <x:row r="65" ht="46.25" hidden="0">
      <x:c r="A65" s="12" t="s">
        <x:v>327</x:v>
      </x:c>
      <x:c r="B65" s="13" t="s">
        <x:v>328</x:v>
      </x:c>
      <x:c r="C65" s="13" t="s">
        <x:v>48</x:v>
      </x:c>
      <x:c r="D65" s="13" t="s">
        <x:v>48</x:v>
      </x:c>
      <x:c r="E65" s="13" t="s">
        <x:v>40</x:v>
      </x:c>
      <x:c r="F65" s="13" t="s">
        <x:v>98</x:v>
      </x:c>
      <x:c r="G65" s="13" t="s">
        <x:v>302</x:v>
      </x:c>
      <x:c r="H65" s="13" t="s">
        <x:v>303</x:v>
      </x:c>
      <x:c r="I65" s="14" t="s">
        <x:v>33</x:v>
      </x:c>
      <x:c r="J65" s="13" t="s">
        <x:v>304</x:v>
      </x:c>
      <x:c r="K65" s="13" t="s">
        <x:v>46</x:v>
      </x:c>
      <x:c r="L65" s="13"/>
      <x:c r="M65" s="13"/>
      <x:c r="N65" s="15" t="s">
        <x:v>329</x:v>
      </x:c>
      <x:c r="O65" s="15"/>
    </x:row>
    <x:row r="66" ht="57.45000076293945" hidden="0">
      <x:c r="A66" s="16" t="s">
        <x:v>330</x:v>
      </x:c>
      <x:c r="B66" s="17" t="s">
        <x:v>317</x:v>
      </x:c>
      <x:c r="C66" s="17" t="s">
        <x:v>48</x:v>
      </x:c>
      <x:c r="D66" s="17" t="s">
        <x:v>48</x:v>
      </x:c>
      <x:c r="E66" s="17" t="s">
        <x:v>40</x:v>
      </x:c>
      <x:c r="F66" s="17" t="s">
        <x:v>98</x:v>
      </x:c>
      <x:c r="G66" s="17" t="s">
        <x:v>318</x:v>
      </x:c>
      <x:c r="H66" s="17" t="s">
        <x:v>319</x:v>
      </x:c>
      <x:c r="I66" s="20" t="s">
        <x:v>33</x:v>
      </x:c>
      <x:c r="J66" s="17" t="s">
        <x:v>181</x:v>
      </x:c>
      <x:c r="K66" s="17" t="s">
        <x:v>166</x:v>
      </x:c>
      <x:c r="L66" s="17"/>
      <x:c r="M66" s="17"/>
      <x:c r="N66" s="19" t="s">
        <x:v>331</x:v>
      </x:c>
      <x:c r="O66" s="19"/>
    </x:row>
    <x:row r="67" ht="15" hidden="0">
      <x:c r="A67" s="12" t="s">
        <x:v>332</x:v>
      </x:c>
      <x:c r="B67" s="13" t="s">
        <x:v>333</x:v>
      </x:c>
      <x:c r="C67" s="13" t="s">
        <x:v>49</x:v>
      </x:c>
      <x:c r="D67" s="13" t="s">
        <x:v>49</x:v>
      </x:c>
      <x:c r="E67" s="13" t="s">
        <x:v>43</x:v>
      </x:c>
      <x:c r="F67" s="13" t="s">
        <x:v>214</x:v>
      </x:c>
      <x:c r="G67" s="13" t="s">
        <x:v>334</x:v>
      </x:c>
      <x:c r="H67" s="13" t="s">
        <x:v>335</x:v>
      </x:c>
      <x:c r="I67" s="21" t="s">
        <x:v>34</x:v>
      </x:c>
      <x:c r="J67" s="13" t="s">
        <x:v>108</x:v>
      </x:c>
      <x:c r="K67" s="13"/>
      <x:c r="L67" s="13"/>
      <x:c r="M67" s="13"/>
      <x:c r="N67" s="15"/>
      <x:c r="O67" s="15"/>
    </x:row>
    <x:row r="68" ht="15" hidden="0">
      <x:c r="A68" s="16" t="s">
        <x:v>336</x:v>
      </x:c>
      <x:c r="B68" s="17" t="s">
        <x:v>337</x:v>
      </x:c>
      <x:c r="C68" s="17" t="s">
        <x:v>49</x:v>
      </x:c>
      <x:c r="D68" s="17" t="s">
        <x:v>49</x:v>
      </x:c>
      <x:c r="E68" s="17" t="s">
        <x:v>43</x:v>
      </x:c>
      <x:c r="F68" s="17" t="s">
        <x:v>214</x:v>
      </x:c>
      <x:c r="G68" s="17" t="s">
        <x:v>334</x:v>
      </x:c>
      <x:c r="H68" s="17" t="s">
        <x:v>335</x:v>
      </x:c>
      <x:c r="I68" s="18" t="s">
        <x:v>34</x:v>
      </x:c>
      <x:c r="J68" s="17" t="s">
        <x:v>108</x:v>
      </x:c>
      <x:c r="K68" s="17"/>
      <x:c r="L68" s="17"/>
      <x:c r="M68" s="17" t="s">
        <x:v>338</x:v>
      </x:c>
      <x:c r="N68" s="19"/>
      <x:c r="O68" s="19"/>
    </x:row>
    <x:row r="69" ht="68.6500015258789" hidden="0">
      <x:c r="A69" s="12" t="s">
        <x:v>339</x:v>
      </x:c>
      <x:c r="B69" s="13" t="s">
        <x:v>340</x:v>
      </x:c>
      <x:c r="C69" s="13" t="s">
        <x:v>43</x:v>
      </x:c>
      <x:c r="D69" s="13" t="s">
        <x:v>43</x:v>
      </x:c>
      <x:c r="E69" s="13" t="s">
        <x:v>40</x:v>
      </x:c>
      <x:c r="F69" s="13" t="s">
        <x:v>98</x:v>
      </x:c>
      <x:c r="G69" s="13"/>
      <x:c r="H69" s="13"/>
      <x:c r="I69" s="14" t="s">
        <x:v>33</x:v>
      </x:c>
      <x:c r="J69" s="13" t="s">
        <x:v>340</x:v>
      </x:c>
      <x:c r="K69" s="13" t="s">
        <x:v>261</x:v>
      </x:c>
      <x:c r="L69" s="13"/>
      <x:c r="M69" s="13"/>
      <x:c r="N69" s="15" t="s">
        <x:v>322</x:v>
      </x:c>
      <x:c r="O69" s="15" t="s">
        <x:v>341</x:v>
      </x:c>
    </x:row>
    <x:row r="70" ht="68.6500015258789" hidden="0">
      <x:c r="A70" s="16" t="s">
        <x:v>342</x:v>
      </x:c>
      <x:c r="B70" s="17" t="s">
        <x:v>343</x:v>
      </x:c>
      <x:c r="C70" s="17" t="s">
        <x:v>43</x:v>
      </x:c>
      <x:c r="D70" s="17" t="s">
        <x:v>43</x:v>
      </x:c>
      <x:c r="E70" s="17" t="s">
        <x:v>40</x:v>
      </x:c>
      <x:c r="F70" s="17" t="s">
        <x:v>98</x:v>
      </x:c>
      <x:c r="G70" s="17"/>
      <x:c r="H70" s="17"/>
      <x:c r="I70" s="20" t="s">
        <x:v>33</x:v>
      </x:c>
      <x:c r="J70" s="17" t="s">
        <x:v>343</x:v>
      </x:c>
      <x:c r="K70" s="17" t="s">
        <x:v>261</x:v>
      </x:c>
      <x:c r="L70" s="17"/>
      <x:c r="M70" s="17"/>
      <x:c r="N70" s="19" t="s">
        <x:v>322</x:v>
      </x:c>
      <x:c r="O70" s="19" t="s">
        <x:v>344</x:v>
      </x:c>
    </x:row>
    <x:row r="71" ht="15" hidden="0">
      <x:c r="A71" s="12" t="s">
        <x:v>345</x:v>
      </x:c>
      <x:c r="B71" s="13" t="s">
        <x:v>346</x:v>
      </x:c>
      <x:c r="C71" s="13" t="s">
        <x:v>43</x:v>
      </x:c>
      <x:c r="D71" s="13" t="s">
        <x:v>43</x:v>
      </x:c>
      <x:c r="E71" s="13" t="s">
        <x:v>43</x:v>
      </x:c>
      <x:c r="F71" s="13" t="s">
        <x:v>214</x:v>
      </x:c>
      <x:c r="G71" s="13" t="s">
        <x:v>347</x:v>
      </x:c>
      <x:c r="H71" s="13" t="s">
        <x:v>348</x:v>
      </x:c>
      <x:c r="I71" s="21" t="s">
        <x:v>34</x:v>
      </x:c>
      <x:c r="J71" s="13" t="s">
        <x:v>108</x:v>
      </x:c>
      <x:c r="K71" s="13"/>
      <x:c r="L71" s="13"/>
      <x:c r="M71" s="13"/>
      <x:c r="N71" s="15"/>
      <x:c r="O71" s="15"/>
    </x:row>
    <x:row r="72" ht="23.850000381469727" hidden="0">
      <x:c r="A72" s="16" t="s">
        <x:v>349</x:v>
      </x:c>
      <x:c r="B72" s="17" t="s">
        <x:v>350</x:v>
      </x:c>
      <x:c r="C72" s="17" t="s">
        <x:v>43</x:v>
      </x:c>
      <x:c r="D72" s="17" t="s">
        <x:v>43</x:v>
      </x:c>
      <x:c r="E72" s="17" t="s">
        <x:v>43</x:v>
      </x:c>
      <x:c r="F72" s="17" t="s">
        <x:v>214</x:v>
      </x:c>
      <x:c r="G72" s="17" t="s">
        <x:v>351</x:v>
      </x:c>
      <x:c r="H72" s="17" t="s">
        <x:v>352</x:v>
      </x:c>
      <x:c r="I72" s="20" t="s">
        <x:v>33</x:v>
      </x:c>
      <x:c r="J72" s="17" t="s">
        <x:v>353</x:v>
      </x:c>
      <x:c r="K72" s="17" t="s">
        <x:v>354</x:v>
      </x:c>
      <x:c r="L72" s="17"/>
      <x:c r="M72" s="17"/>
      <x:c r="N72" s="19"/>
      <x:c r="O72" s="19" t="s">
        <x:v>355</x:v>
      </x:c>
    </x:row>
    <x:row r="73" ht="15" hidden="0">
      <x:c r="A73" s="12" t="s">
        <x:v>356</x:v>
      </x:c>
      <x:c r="B73" s="13" t="s">
        <x:v>269</x:v>
      </x:c>
      <x:c r="C73" s="13" t="s">
        <x:v>43</x:v>
      </x:c>
      <x:c r="D73" s="13" t="s">
        <x:v>43</x:v>
      </x:c>
      <x:c r="E73" s="13" t="s">
        <x:v>43</x:v>
      </x:c>
      <x:c r="F73" s="13" t="s">
        <x:v>214</x:v>
      </x:c>
      <x:c r="G73" s="13" t="s">
        <x:v>270</x:v>
      </x:c>
      <x:c r="H73" s="13" t="s">
        <x:v>271</x:v>
      </x:c>
      <x:c r="I73" s="21" t="s">
        <x:v>34</x:v>
      </x:c>
      <x:c r="J73" s="13" t="s">
        <x:v>108</x:v>
      </x:c>
      <x:c r="K73" s="13"/>
      <x:c r="L73" s="13"/>
      <x:c r="M73" s="13"/>
      <x:c r="N73" s="15"/>
      <x:c r="O73" s="15"/>
    </x:row>
    <x:row r="74" ht="15" hidden="0">
      <x:c r="A74" s="16" t="s">
        <x:v>357</x:v>
      </x:c>
      <x:c r="B74" s="17" t="s">
        <x:v>358</x:v>
      </x:c>
      <x:c r="C74" s="17" t="s">
        <x:v>43</x:v>
      </x:c>
      <x:c r="D74" s="17" t="s">
        <x:v>43</x:v>
      </x:c>
      <x:c r="E74" s="17" t="s">
        <x:v>43</x:v>
      </x:c>
      <x:c r="F74" s="17" t="s">
        <x:v>214</x:v>
      </x:c>
      <x:c r="G74" s="17" t="s">
        <x:v>270</x:v>
      </x:c>
      <x:c r="H74" s="17" t="s">
        <x:v>271</x:v>
      </x:c>
      <x:c r="I74" s="18" t="s">
        <x:v>34</x:v>
      </x:c>
      <x:c r="J74" s="17" t="s">
        <x:v>108</x:v>
      </x:c>
      <x:c r="K74" s="17"/>
      <x:c r="L74" s="17"/>
      <x:c r="M74" s="17" t="s">
        <x:v>278</x:v>
      </x:c>
      <x:c r="N74" s="19"/>
      <x:c r="O74" s="19" t="s">
        <x:v>359</x:v>
      </x:c>
    </x:row>
    <x:row r="75" ht="23.850000381469727" hidden="0">
      <x:c r="A75" s="12" t="s">
        <x:v>360</x:v>
      </x:c>
      <x:c r="B75" s="13" t="s">
        <x:v>361</x:v>
      </x:c>
      <x:c r="C75" s="13" t="s">
        <x:v>43</x:v>
      </x:c>
      <x:c r="D75" s="13" t="s">
        <x:v>43</x:v>
      </x:c>
      <x:c r="E75" s="13" t="s">
        <x:v>43</x:v>
      </x:c>
      <x:c r="F75" s="13" t="s">
        <x:v>214</x:v>
      </x:c>
      <x:c r="G75" s="13" t="s">
        <x:v>351</x:v>
      </x:c>
      <x:c r="H75" s="13" t="s">
        <x:v>352</x:v>
      </x:c>
      <x:c r="I75" s="14" t="s">
        <x:v>33</x:v>
      </x:c>
      <x:c r="J75" s="13" t="s">
        <x:v>362</x:v>
      </x:c>
      <x:c r="K75" s="13" t="s">
        <x:v>354</x:v>
      </x:c>
      <x:c r="L75" s="13"/>
      <x:c r="M75" s="13"/>
      <x:c r="N75" s="15"/>
      <x:c r="O75" s="15" t="s">
        <x:v>363</x:v>
      </x:c>
    </x:row>
    <x:row r="76" ht="15" hidden="0">
      <x:c r="A76" s="16" t="s">
        <x:v>364</x:v>
      </x:c>
      <x:c r="B76" s="17" t="s">
        <x:v>274</x:v>
      </x:c>
      <x:c r="C76" s="17" t="s">
        <x:v>43</x:v>
      </x:c>
      <x:c r="D76" s="17" t="s">
        <x:v>43</x:v>
      </x:c>
      <x:c r="E76" s="17" t="s">
        <x:v>43</x:v>
      </x:c>
      <x:c r="F76" s="17" t="s">
        <x:v>214</x:v>
      </x:c>
      <x:c r="G76" s="17" t="s">
        <x:v>347</x:v>
      </x:c>
      <x:c r="H76" s="17" t="s">
        <x:v>348</x:v>
      </x:c>
      <x:c r="I76" s="18" t="s">
        <x:v>34</x:v>
      </x:c>
      <x:c r="J76" s="17" t="s">
        <x:v>108</x:v>
      </x:c>
      <x:c r="K76" s="17"/>
      <x:c r="L76" s="17"/>
      <x:c r="M76" s="17"/>
      <x:c r="N76" s="19"/>
      <x:c r="O76" s="19"/>
    </x:row>
    <x:row r="77" ht="15" hidden="0">
      <x:c r="A77" s="12" t="s">
        <x:v>365</x:v>
      </x:c>
      <x:c r="B77" s="13" t="s">
        <x:v>277</x:v>
      </x:c>
      <x:c r="C77" s="13" t="s">
        <x:v>43</x:v>
      </x:c>
      <x:c r="D77" s="13" t="s">
        <x:v>43</x:v>
      </x:c>
      <x:c r="E77" s="13" t="s">
        <x:v>43</x:v>
      </x:c>
      <x:c r="F77" s="13" t="s">
        <x:v>214</x:v>
      </x:c>
      <x:c r="G77" s="13" t="s">
        <x:v>347</x:v>
      </x:c>
      <x:c r="H77" s="13" t="s">
        <x:v>348</x:v>
      </x:c>
      <x:c r="I77" s="21" t="s">
        <x:v>34</x:v>
      </x:c>
      <x:c r="J77" s="13" t="s">
        <x:v>108</x:v>
      </x:c>
      <x:c r="K77" s="13"/>
      <x:c r="L77" s="13"/>
      <x:c r="M77" s="13" t="s">
        <x:v>278</x:v>
      </x:c>
      <x:c r="N77" s="15"/>
      <x:c r="O77" s="15"/>
    </x:row>
    <x:row r="78" ht="15" hidden="0">
      <x:c r="A78" s="16" t="s">
        <x:v>366</x:v>
      </x:c>
      <x:c r="B78" s="17" t="s">
        <x:v>367</x:v>
      </x:c>
      <x:c r="C78" s="17" t="s">
        <x:v>43</x:v>
      </x:c>
      <x:c r="D78" s="17" t="s">
        <x:v>43</x:v>
      </x:c>
      <x:c r="E78" s="17" t="s">
        <x:v>43</x:v>
      </x:c>
      <x:c r="F78" s="17" t="s">
        <x:v>214</x:v>
      </x:c>
      <x:c r="G78" s="17" t="s">
        <x:v>347</x:v>
      </x:c>
      <x:c r="H78" s="17" t="s">
        <x:v>348</x:v>
      </x:c>
      <x:c r="I78" s="18" t="s">
        <x:v>34</x:v>
      </x:c>
      <x:c r="J78" s="17" t="s">
        <x:v>108</x:v>
      </x:c>
      <x:c r="K78" s="17"/>
      <x:c r="L78" s="17"/>
      <x:c r="M78" s="17"/>
      <x:c r="N78" s="19"/>
      <x:c r="O78" s="19"/>
    </x:row>
    <x:row r="79" ht="15" hidden="0">
      <x:c r="A79" s="12" t="s">
        <x:v>368</x:v>
      </x:c>
      <x:c r="B79" s="13" t="s">
        <x:v>369</x:v>
      </x:c>
      <x:c r="C79" s="13" t="s">
        <x:v>43</x:v>
      </x:c>
      <x:c r="D79" s="13" t="s">
        <x:v>43</x:v>
      </x:c>
      <x:c r="E79" s="13" t="s">
        <x:v>43</x:v>
      </x:c>
      <x:c r="F79" s="13" t="s">
        <x:v>214</x:v>
      </x:c>
      <x:c r="G79" s="13" t="s">
        <x:v>347</x:v>
      </x:c>
      <x:c r="H79" s="13" t="s">
        <x:v>348</x:v>
      </x:c>
      <x:c r="I79" s="21" t="s">
        <x:v>34</x:v>
      </x:c>
      <x:c r="J79" s="13" t="s">
        <x:v>108</x:v>
      </x:c>
      <x:c r="K79" s="13"/>
      <x:c r="L79" s="13"/>
      <x:c r="M79" s="13" t="s">
        <x:v>286</x:v>
      </x:c>
      <x:c r="N79" s="15"/>
      <x:c r="O79" s="15"/>
    </x:row>
    <x:row r="80" ht="15" hidden="0">
      <x:c r="A80" s="16" t="s">
        <x:v>370</x:v>
      </x:c>
      <x:c r="B80" s="17" t="s">
        <x:v>371</x:v>
      </x:c>
      <x:c r="C80" s="17" t="s">
        <x:v>43</x:v>
      </x:c>
      <x:c r="D80" s="17" t="s">
        <x:v>47</x:v>
      </x:c>
      <x:c r="E80" s="17" t="s">
        <x:v>40</x:v>
      </x:c>
      <x:c r="F80" s="17" t="s">
        <x:v>98</x:v>
      </x:c>
      <x:c r="G80" s="17" t="s">
        <x:v>250</x:v>
      </x:c>
      <x:c r="H80" s="17" t="s">
        <x:v>251</x:v>
      </x:c>
      <x:c r="I80" s="18" t="s">
        <x:v>34</x:v>
      </x:c>
      <x:c r="J80" s="17" t="s">
        <x:v>108</x:v>
      </x:c>
      <x:c r="K80" s="17"/>
      <x:c r="L80" s="17"/>
      <x:c r="M80" s="17"/>
      <x:c r="N80" s="19"/>
      <x:c r="O80" s="19"/>
    </x:row>
    <x:row r="81" ht="15" hidden="0">
      <x:c r="A81" s="12" t="s">
        <x:v>372</x:v>
      </x:c>
      <x:c r="B81" s="13" t="s">
        <x:v>373</x:v>
      </x:c>
      <x:c r="C81" s="13" t="s">
        <x:v>43</x:v>
      </x:c>
      <x:c r="D81" s="13" t="s">
        <x:v>47</x:v>
      </x:c>
      <x:c r="E81" s="13" t="s">
        <x:v>40</x:v>
      </x:c>
      <x:c r="F81" s="13" t="s">
        <x:v>98</x:v>
      </x:c>
      <x:c r="G81" s="13" t="s">
        <x:v>242</x:v>
      </x:c>
      <x:c r="H81" s="13" t="s">
        <x:v>243</x:v>
      </x:c>
      <x:c r="I81" s="14" t="s">
        <x:v>33</x:v>
      </x:c>
      <x:c r="J81" s="13" t="s">
        <x:v>244</x:v>
      </x:c>
      <x:c r="K81" s="13" t="s">
        <x:v>46</x:v>
      </x:c>
      <x:c r="L81" s="13"/>
      <x:c r="M81" s="13" t="s">
        <x:v>245</x:v>
      </x:c>
      <x:c r="N81" s="15"/>
      <x:c r="O81" s="15"/>
    </x:row>
    <x:row r="82" ht="23.850000381469727" hidden="0">
      <x:c r="A82" s="16" t="s">
        <x:v>374</x:v>
      </x:c>
      <x:c r="B82" s="17" t="s">
        <x:v>375</x:v>
      </x:c>
      <x:c r="C82" s="17" t="s">
        <x:v>43</x:v>
      </x:c>
      <x:c r="D82" s="17" t="s">
        <x:v>43</x:v>
      </x:c>
      <x:c r="E82" s="17" t="s">
        <x:v>43</x:v>
      </x:c>
      <x:c r="F82" s="17" t="s">
        <x:v>214</x:v>
      </x:c>
      <x:c r="G82" s="17"/>
      <x:c r="H82" s="17"/>
      <x:c r="I82" s="18" t="s">
        <x:v>34</x:v>
      </x:c>
      <x:c r="J82" s="17" t="s">
        <x:v>108</x:v>
      </x:c>
      <x:c r="K82" s="17"/>
      <x:c r="L82" s="17"/>
      <x:c r="M82" s="17"/>
      <x:c r="N82" s="19"/>
      <x:c r="O82" s="19" t="s">
        <x:v>376</x:v>
      </x:c>
    </x:row>
    <x:row r="83" ht="23.850000381469727" hidden="0">
      <x:c r="A83" s="12" t="s">
        <x:v>377</x:v>
      </x:c>
      <x:c r="B83" s="13" t="s">
        <x:v>378</x:v>
      </x:c>
      <x:c r="C83" s="13" t="s">
        <x:v>43</x:v>
      </x:c>
      <x:c r="D83" s="13" t="s">
        <x:v>43</x:v>
      </x:c>
      <x:c r="E83" s="13" t="s">
        <x:v>43</x:v>
      </x:c>
      <x:c r="F83" s="13" t="s">
        <x:v>214</x:v>
      </x:c>
      <x:c r="G83" s="13" t="s">
        <x:v>351</x:v>
      </x:c>
      <x:c r="H83" s="13" t="s">
        <x:v>352</x:v>
      </x:c>
      <x:c r="I83" s="14" t="s">
        <x:v>33</x:v>
      </x:c>
      <x:c r="J83" s="13" t="s">
        <x:v>379</x:v>
      </x:c>
      <x:c r="K83" s="13" t="s">
        <x:v>354</x:v>
      </x:c>
      <x:c r="L83" s="13"/>
      <x:c r="M83" s="13"/>
      <x:c r="N83" s="15"/>
      <x:c r="O83" s="15" t="s">
        <x:v>380</x:v>
      </x:c>
    </x:row>
    <x:row r="84" ht="15" hidden="0">
      <x:c r="A84" s="16" t="s">
        <x:v>381</x:v>
      </x:c>
      <x:c r="B84" s="17" t="s">
        <x:v>382</x:v>
      </x:c>
      <x:c r="C84" s="17" t="s">
        <x:v>43</x:v>
      </x:c>
      <x:c r="D84" s="17" t="s">
        <x:v>43</x:v>
      </x:c>
      <x:c r="E84" s="17" t="s">
        <x:v>43</x:v>
      </x:c>
      <x:c r="F84" s="17" t="s">
        <x:v>214</x:v>
      </x:c>
      <x:c r="G84" s="17" t="s">
        <x:v>347</x:v>
      </x:c>
      <x:c r="H84" s="17" t="s">
        <x:v>348</x:v>
      </x:c>
      <x:c r="I84" s="18" t="s">
        <x:v>34</x:v>
      </x:c>
      <x:c r="J84" s="17" t="s">
        <x:v>108</x:v>
      </x:c>
      <x:c r="K84" s="17"/>
      <x:c r="L84" s="17"/>
      <x:c r="M84" s="17"/>
      <x:c r="N84" s="19"/>
      <x:c r="O84" s="19"/>
    </x:row>
    <x:row r="85" ht="15" hidden="0">
      <x:c r="A85" s="12" t="s">
        <x:v>383</x:v>
      </x:c>
      <x:c r="B85" s="13" t="s">
        <x:v>384</x:v>
      </x:c>
      <x:c r="C85" s="13" t="s">
        <x:v>43</x:v>
      </x:c>
      <x:c r="D85" s="13" t="s">
        <x:v>43</x:v>
      </x:c>
      <x:c r="E85" s="13" t="s">
        <x:v>43</x:v>
      </x:c>
      <x:c r="F85" s="13" t="s">
        <x:v>214</x:v>
      </x:c>
      <x:c r="G85" s="13" t="s">
        <x:v>351</x:v>
      </x:c>
      <x:c r="H85" s="13" t="s">
        <x:v>352</x:v>
      </x:c>
      <x:c r="I85" s="14" t="s">
        <x:v>33</x:v>
      </x:c>
      <x:c r="J85" s="13" t="s">
        <x:v>384</x:v>
      </x:c>
      <x:c r="K85" s="13" t="s">
        <x:v>354</x:v>
      </x:c>
      <x:c r="L85" s="13"/>
      <x:c r="M85" s="13"/>
      <x:c r="N85" s="15"/>
      <x:c r="O85" s="15"/>
    </x:row>
    <x:row r="86" ht="15" hidden="0">
      <x:c r="A86" s="16" t="s">
        <x:v>385</x:v>
      </x:c>
      <x:c r="B86" s="17" t="s">
        <x:v>386</x:v>
      </x:c>
      <x:c r="C86" s="17" t="s">
        <x:v>43</x:v>
      </x:c>
      <x:c r="D86" s="17" t="s">
        <x:v>43</x:v>
      </x:c>
      <x:c r="E86" s="17" t="s">
        <x:v>43</x:v>
      </x:c>
      <x:c r="F86" s="17" t="s">
        <x:v>214</x:v>
      </x:c>
      <x:c r="G86" s="17" t="s">
        <x:v>347</x:v>
      </x:c>
      <x:c r="H86" s="17" t="s">
        <x:v>348</x:v>
      </x:c>
      <x:c r="I86" s="18" t="s">
        <x:v>34</x:v>
      </x:c>
      <x:c r="J86" s="17" t="s">
        <x:v>108</x:v>
      </x:c>
      <x:c r="K86" s="17"/>
      <x:c r="L86" s="17"/>
      <x:c r="M86" s="17"/>
      <x:c r="N86" s="19"/>
      <x:c r="O86" s="19"/>
    </x:row>
    <x:row r="87" ht="15" hidden="0">
      <x:c r="A87" s="12" t="s">
        <x:v>387</x:v>
      </x:c>
      <x:c r="B87" s="13" t="s">
        <x:v>388</x:v>
      </x:c>
      <x:c r="C87" s="13" t="s">
        <x:v>43</x:v>
      </x:c>
      <x:c r="D87" s="13" t="s">
        <x:v>43</x:v>
      </x:c>
      <x:c r="E87" s="13" t="s">
        <x:v>43</x:v>
      </x:c>
      <x:c r="F87" s="13" t="s">
        <x:v>214</x:v>
      </x:c>
      <x:c r="G87" s="13" t="s">
        <x:v>351</x:v>
      </x:c>
      <x:c r="H87" s="13" t="s">
        <x:v>352</x:v>
      </x:c>
      <x:c r="I87" s="14" t="s">
        <x:v>33</x:v>
      </x:c>
      <x:c r="J87" s="13" t="s">
        <x:v>389</x:v>
      </x:c>
      <x:c r="K87" s="13" t="s">
        <x:v>354</x:v>
      </x:c>
      <x:c r="L87" s="13"/>
      <x:c r="M87" s="13"/>
      <x:c r="N87" s="15"/>
      <x:c r="O87" s="15"/>
    </x:row>
    <x:row r="88" ht="15" hidden="0">
      <x:c r="A88" s="16" t="s">
        <x:v>390</x:v>
      </x:c>
      <x:c r="B88" s="17" t="s">
        <x:v>391</x:v>
      </x:c>
      <x:c r="C88" s="17" t="s">
        <x:v>43</x:v>
      </x:c>
      <x:c r="D88" s="17" t="s">
        <x:v>43</x:v>
      </x:c>
      <x:c r="E88" s="17" t="s">
        <x:v>43</x:v>
      </x:c>
      <x:c r="F88" s="17" t="s">
        <x:v>214</x:v>
      </x:c>
      <x:c r="G88" s="17" t="s">
        <x:v>392</x:v>
      </x:c>
      <x:c r="H88" s="17" t="s">
        <x:v>393</x:v>
      </x:c>
      <x:c r="I88" s="18" t="s">
        <x:v>34</x:v>
      </x:c>
      <x:c r="J88" s="17" t="s">
        <x:v>108</x:v>
      </x:c>
      <x:c r="K88" s="17"/>
      <x:c r="L88" s="17"/>
      <x:c r="M88" s="17" t="s">
        <x:v>278</x:v>
      </x:c>
      <x:c r="N88" s="19"/>
      <x:c r="O88" s="19" t="s">
        <x:v>394</x:v>
      </x:c>
    </x:row>
    <x:row r="89" ht="15" hidden="0">
      <x:c r="A89" s="12" t="s">
        <x:v>395</x:v>
      </x:c>
      <x:c r="B89" s="13" t="s">
        <x:v>396</x:v>
      </x:c>
      <x:c r="C89" s="13" t="s">
        <x:v>43</x:v>
      </x:c>
      <x:c r="D89" s="13" t="s">
        <x:v>43</x:v>
      </x:c>
      <x:c r="E89" s="13" t="s">
        <x:v>43</x:v>
      </x:c>
      <x:c r="F89" s="13" t="s">
        <x:v>214</x:v>
      </x:c>
      <x:c r="G89" s="13"/>
      <x:c r="H89" s="13"/>
      <x:c r="I89" s="21" t="s">
        <x:v>34</x:v>
      </x:c>
      <x:c r="J89" s="13" t="s">
        <x:v>108</x:v>
      </x:c>
      <x:c r="K89" s="13"/>
      <x:c r="L89" s="13"/>
      <x:c r="M89" s="13"/>
      <x:c r="N89" s="15"/>
      <x:c r="O89" s="15"/>
    </x:row>
    <x:row r="90" ht="15" hidden="0">
      <x:c r="A90" s="16" t="s">
        <x:v>397</x:v>
      </x:c>
      <x:c r="B90" s="17" t="s">
        <x:v>398</x:v>
      </x:c>
      <x:c r="C90" s="17" t="s">
        <x:v>43</x:v>
      </x:c>
      <x:c r="D90" s="17" t="s">
        <x:v>43</x:v>
      </x:c>
      <x:c r="E90" s="17" t="s">
        <x:v>43</x:v>
      </x:c>
      <x:c r="F90" s="17" t="s">
        <x:v>214</x:v>
      </x:c>
      <x:c r="G90" s="17"/>
      <x:c r="H90" s="17"/>
      <x:c r="I90" s="18" t="s">
        <x:v>34</x:v>
      </x:c>
      <x:c r="J90" s="17" t="s">
        <x:v>108</x:v>
      </x:c>
      <x:c r="K90" s="17"/>
      <x:c r="L90" s="17"/>
      <x:c r="M90" s="17"/>
      <x:c r="N90" s="19"/>
      <x:c r="O90" s="19"/>
    </x:row>
    <x:row r="91" ht="15" hidden="0">
      <x:c r="A91" s="12" t="s">
        <x:v>399</x:v>
      </x:c>
      <x:c r="B91" s="13" t="s">
        <x:v>400</x:v>
      </x:c>
      <x:c r="C91" s="13" t="s">
        <x:v>43</x:v>
      </x:c>
      <x:c r="D91" s="13" t="s">
        <x:v>43</x:v>
      </x:c>
      <x:c r="E91" s="13" t="s">
        <x:v>43</x:v>
      </x:c>
      <x:c r="F91" s="13" t="s">
        <x:v>214</x:v>
      </x:c>
      <x:c r="G91" s="13"/>
      <x:c r="H91" s="13"/>
      <x:c r="I91" s="21" t="s">
        <x:v>34</x:v>
      </x:c>
      <x:c r="J91" s="13" t="s">
        <x:v>108</x:v>
      </x:c>
      <x:c r="K91" s="13"/>
      <x:c r="L91" s="13"/>
      <x:c r="M91" s="13"/>
      <x:c r="N91" s="15"/>
      <x:c r="O91" s="15"/>
    </x:row>
    <x:row r="92" ht="15" hidden="0">
      <x:c r="A92" s="16" t="s">
        <x:v>401</x:v>
      </x:c>
      <x:c r="B92" s="17" t="s">
        <x:v>402</x:v>
      </x:c>
      <x:c r="C92" s="17" t="s">
        <x:v>43</x:v>
      </x:c>
      <x:c r="D92" s="17" t="s">
        <x:v>43</x:v>
      </x:c>
      <x:c r="E92" s="17" t="s">
        <x:v>43</x:v>
      </x:c>
      <x:c r="F92" s="17" t="s">
        <x:v>214</x:v>
      </x:c>
      <x:c r="G92" s="17"/>
      <x:c r="H92" s="17"/>
      <x:c r="I92" s="18" t="s">
        <x:v>34</x:v>
      </x:c>
      <x:c r="J92" s="17" t="s">
        <x:v>108</x:v>
      </x:c>
      <x:c r="K92" s="17"/>
      <x:c r="L92" s="17"/>
      <x:c r="M92" s="17"/>
      <x:c r="N92" s="19"/>
      <x:c r="O92" s="19"/>
    </x:row>
    <x:row r="93" ht="35.04999923706055" hidden="0">
      <x:c r="A93" s="12" t="s">
        <x:v>403</x:v>
      </x:c>
      <x:c r="B93" s="13" t="s">
        <x:v>217</x:v>
      </x:c>
      <x:c r="C93" s="13" t="s">
        <x:v>43</x:v>
      </x:c>
      <x:c r="D93" s="13" t="s">
        <x:v>43</x:v>
      </x:c>
      <x:c r="E93" s="13" t="s">
        <x:v>43</x:v>
      </x:c>
      <x:c r="F93" s="13" t="s">
        <x:v>214</x:v>
      </x:c>
      <x:c r="G93" s="13" t="s">
        <x:v>351</x:v>
      </x:c>
      <x:c r="H93" s="13" t="s">
        <x:v>352</x:v>
      </x:c>
      <x:c r="I93" s="14" t="s">
        <x:v>33</x:v>
      </x:c>
      <x:c r="J93" s="13" t="s">
        <x:v>404</x:v>
      </x:c>
      <x:c r="K93" s="13" t="s">
        <x:v>354</x:v>
      </x:c>
      <x:c r="L93" s="13"/>
      <x:c r="M93" s="13"/>
      <x:c r="N93" s="15"/>
      <x:c r="O93" s="15" t="s">
        <x:v>405</x:v>
      </x:c>
    </x:row>
    <x:row r="94" ht="35.04999923706055" hidden="0">
      <x:c r="A94" s="16" t="s">
        <x:v>406</x:v>
      </x:c>
      <x:c r="B94" s="17" t="s">
        <x:v>407</x:v>
      </x:c>
      <x:c r="C94" s="17" t="s">
        <x:v>43</x:v>
      </x:c>
      <x:c r="D94" s="17" t="s">
        <x:v>43</x:v>
      </x:c>
      <x:c r="E94" s="17" t="s">
        <x:v>41</x:v>
      </x:c>
      <x:c r="F94" s="17" t="s">
        <x:v>214</x:v>
      </x:c>
      <x:c r="G94" s="17"/>
      <x:c r="H94" s="17"/>
      <x:c r="I94" s="18" t="s">
        <x:v>34</x:v>
      </x:c>
      <x:c r="J94" s="17" t="s">
        <x:v>108</x:v>
      </x:c>
      <x:c r="K94" s="17"/>
      <x:c r="L94" s="17"/>
      <x:c r="M94" s="17"/>
      <x:c r="N94" s="19" t="s">
        <x:v>408</x:v>
      </x:c>
      <x:c r="O94" s="19"/>
    </x:row>
    <x:row r="95" ht="57.45000076293945" hidden="0">
      <x:c r="A95" s="12" t="s">
        <x:v>409</x:v>
      </x:c>
      <x:c r="B95" s="13" t="s">
        <x:v>410</x:v>
      </x:c>
      <x:c r="C95" s="13" t="s">
        <x:v>43</x:v>
      </x:c>
      <x:c r="D95" s="13" t="s">
        <x:v>48</x:v>
      </x:c>
      <x:c r="E95" s="13" t="s">
        <x:v>41</x:v>
      </x:c>
      <x:c r="F95" s="13" t="s">
        <x:v>214</x:v>
      </x:c>
      <x:c r="G95" s="13" t="s">
        <x:v>307</x:v>
      </x:c>
      <x:c r="H95" s="13" t="s">
        <x:v>308</x:v>
      </x:c>
      <x:c r="I95" s="21" t="s">
        <x:v>34</x:v>
      </x:c>
      <x:c r="J95" s="13" t="s">
        <x:v>108</x:v>
      </x:c>
      <x:c r="K95" s="13"/>
      <x:c r="L95" s="13"/>
      <x:c r="M95" s="13"/>
      <x:c r="N95" s="15" t="s">
        <x:v>411</x:v>
      </x:c>
      <x:c r="O95" s="15"/>
    </x:row>
    <x:row r="96" ht="57.45000076293945" hidden="0">
      <x:c r="A96" s="16" t="s">
        <x:v>412</x:v>
      </x:c>
      <x:c r="B96" s="17" t="s">
        <x:v>413</x:v>
      </x:c>
      <x:c r="C96" s="17" t="s">
        <x:v>43</x:v>
      </x:c>
      <x:c r="D96" s="17" t="s">
        <x:v>48</x:v>
      </x:c>
      <x:c r="E96" s="17" t="s">
        <x:v>41</x:v>
      </x:c>
      <x:c r="F96" s="17" t="s">
        <x:v>214</x:v>
      </x:c>
      <x:c r="G96" s="17" t="s">
        <x:v>307</x:v>
      </x:c>
      <x:c r="H96" s="17" t="s">
        <x:v>308</x:v>
      </x:c>
      <x:c r="I96" s="18" t="s">
        <x:v>34</x:v>
      </x:c>
      <x:c r="J96" s="17" t="s">
        <x:v>108</x:v>
      </x:c>
      <x:c r="K96" s="17"/>
      <x:c r="L96" s="17"/>
      <x:c r="M96" s="17"/>
      <x:c r="N96" s="19" t="s">
        <x:v>411</x:v>
      </x:c>
      <x:c r="O96" s="19"/>
    </x:row>
    <x:row r="97" ht="57.45000076293945" hidden="0">
      <x:c r="A97" s="12" t="s">
        <x:v>414</x:v>
      </x:c>
      <x:c r="B97" s="13" t="s">
        <x:v>415</x:v>
      </x:c>
      <x:c r="C97" s="13" t="s">
        <x:v>43</x:v>
      </x:c>
      <x:c r="D97" s="13" t="s">
        <x:v>48</x:v>
      </x:c>
      <x:c r="E97" s="13" t="s">
        <x:v>41</x:v>
      </x:c>
      <x:c r="F97" s="13" t="s">
        <x:v>214</x:v>
      </x:c>
      <x:c r="G97" s="13" t="s">
        <x:v>307</x:v>
      </x:c>
      <x:c r="H97" s="13" t="s">
        <x:v>308</x:v>
      </x:c>
      <x:c r="I97" s="21" t="s">
        <x:v>34</x:v>
      </x:c>
      <x:c r="J97" s="13" t="s">
        <x:v>108</x:v>
      </x:c>
      <x:c r="K97" s="13"/>
      <x:c r="L97" s="13"/>
      <x:c r="M97" s="13"/>
      <x:c r="N97" s="15" t="s">
        <x:v>411</x:v>
      </x:c>
      <x:c r="O97" s="15"/>
    </x:row>
    <x:row r="98" ht="57.45000076293945" hidden="0">
      <x:c r="A98" s="16" t="s">
        <x:v>416</x:v>
      </x:c>
      <x:c r="B98" s="17" t="s">
        <x:v>417</x:v>
      </x:c>
      <x:c r="C98" s="17" t="s">
        <x:v>43</x:v>
      </x:c>
      <x:c r="D98" s="17" t="s">
        <x:v>48</x:v>
      </x:c>
      <x:c r="E98" s="17" t="s">
        <x:v>41</x:v>
      </x:c>
      <x:c r="F98" s="17" t="s">
        <x:v>214</x:v>
      </x:c>
      <x:c r="G98" s="17" t="s">
        <x:v>307</x:v>
      </x:c>
      <x:c r="H98" s="17" t="s">
        <x:v>308</x:v>
      </x:c>
      <x:c r="I98" s="18" t="s">
        <x:v>34</x:v>
      </x:c>
      <x:c r="J98" s="17" t="s">
        <x:v>108</x:v>
      </x:c>
      <x:c r="K98" s="17"/>
      <x:c r="L98" s="17"/>
      <x:c r="M98" s="17"/>
      <x:c r="N98" s="19" t="s">
        <x:v>411</x:v>
      </x:c>
      <x:c r="O98" s="19"/>
    </x:row>
    <x:row r="99" ht="57.45000076293945" hidden="0">
      <x:c r="A99" s="12" t="s">
        <x:v>418</x:v>
      </x:c>
      <x:c r="B99" s="13" t="s">
        <x:v>419</x:v>
      </x:c>
      <x:c r="C99" s="13" t="s">
        <x:v>43</x:v>
      </x:c>
      <x:c r="D99" s="13" t="s">
        <x:v>48</x:v>
      </x:c>
      <x:c r="E99" s="13" t="s">
        <x:v>41</x:v>
      </x:c>
      <x:c r="F99" s="13" t="s">
        <x:v>214</x:v>
      </x:c>
      <x:c r="G99" s="13" t="s">
        <x:v>307</x:v>
      </x:c>
      <x:c r="H99" s="13" t="s">
        <x:v>308</x:v>
      </x:c>
      <x:c r="I99" s="21" t="s">
        <x:v>34</x:v>
      </x:c>
      <x:c r="J99" s="13" t="s">
        <x:v>108</x:v>
      </x:c>
      <x:c r="K99" s="13"/>
      <x:c r="L99" s="13"/>
      <x:c r="M99" s="13"/>
      <x:c r="N99" s="15" t="s">
        <x:v>411</x:v>
      </x:c>
      <x:c r="O99" s="15" t="s">
        <x:v>420</x:v>
      </x:c>
    </x:row>
    <x:row r="100" ht="57.45000076293945" hidden="0">
      <x:c r="A100" s="16" t="s">
        <x:v>421</x:v>
      </x:c>
      <x:c r="B100" s="17" t="s">
        <x:v>422</x:v>
      </x:c>
      <x:c r="C100" s="17" t="s">
        <x:v>43</x:v>
      </x:c>
      <x:c r="D100" s="17" t="s">
        <x:v>48</x:v>
      </x:c>
      <x:c r="E100" s="17" t="s">
        <x:v>41</x:v>
      </x:c>
      <x:c r="F100" s="17" t="s">
        <x:v>214</x:v>
      </x:c>
      <x:c r="G100" s="17" t="s">
        <x:v>307</x:v>
      </x:c>
      <x:c r="H100" s="17" t="s">
        <x:v>308</x:v>
      </x:c>
      <x:c r="I100" s="18" t="s">
        <x:v>34</x:v>
      </x:c>
      <x:c r="J100" s="17" t="s">
        <x:v>108</x:v>
      </x:c>
      <x:c r="K100" s="17"/>
      <x:c r="L100" s="17"/>
      <x:c r="M100" s="17"/>
      <x:c r="N100" s="19" t="s">
        <x:v>411</x:v>
      </x:c>
      <x:c r="O100" s="19"/>
    </x:row>
    <x:row r="101" ht="57.45000076293945" hidden="0">
      <x:c r="A101" s="12" t="s">
        <x:v>423</x:v>
      </x:c>
      <x:c r="B101" s="13" t="s">
        <x:v>424</x:v>
      </x:c>
      <x:c r="C101" s="13" t="s">
        <x:v>43</x:v>
      </x:c>
      <x:c r="D101" s="13" t="s">
        <x:v>48</x:v>
      </x:c>
      <x:c r="E101" s="13" t="s">
        <x:v>41</x:v>
      </x:c>
      <x:c r="F101" s="13" t="s">
        <x:v>214</x:v>
      </x:c>
      <x:c r="G101" s="13" t="s">
        <x:v>307</x:v>
      </x:c>
      <x:c r="H101" s="13" t="s">
        <x:v>308</x:v>
      </x:c>
      <x:c r="I101" s="21" t="s">
        <x:v>34</x:v>
      </x:c>
      <x:c r="J101" s="13" t="s">
        <x:v>108</x:v>
      </x:c>
      <x:c r="K101" s="13"/>
      <x:c r="L101" s="13"/>
      <x:c r="M101" s="13"/>
      <x:c r="N101" s="15" t="s">
        <x:v>411</x:v>
      </x:c>
      <x:c r="O101" s="15"/>
    </x:row>
    <x:row r="102" ht="57.45000076293945" hidden="0">
      <x:c r="A102" s="16" t="s">
        <x:v>425</x:v>
      </x:c>
      <x:c r="B102" s="17" t="s">
        <x:v>426</x:v>
      </x:c>
      <x:c r="C102" s="17" t="s">
        <x:v>43</x:v>
      </x:c>
      <x:c r="D102" s="17" t="s">
        <x:v>48</x:v>
      </x:c>
      <x:c r="E102" s="17" t="s">
        <x:v>41</x:v>
      </x:c>
      <x:c r="F102" s="17" t="s">
        <x:v>214</x:v>
      </x:c>
      <x:c r="G102" s="17" t="s">
        <x:v>307</x:v>
      </x:c>
      <x:c r="H102" s="17" t="s">
        <x:v>308</x:v>
      </x:c>
      <x:c r="I102" s="18" t="s">
        <x:v>34</x:v>
      </x:c>
      <x:c r="J102" s="17" t="s">
        <x:v>108</x:v>
      </x:c>
      <x:c r="K102" s="17"/>
      <x:c r="L102" s="17"/>
      <x:c r="M102" s="17"/>
      <x:c r="N102" s="19" t="s">
        <x:v>411</x:v>
      </x:c>
      <x:c r="O102" s="19"/>
    </x:row>
    <x:row r="103" ht="57.45000076293945" hidden="0">
      <x:c r="A103" s="12" t="s">
        <x:v>427</x:v>
      </x:c>
      <x:c r="B103" s="13" t="s">
        <x:v>428</x:v>
      </x:c>
      <x:c r="C103" s="13" t="s">
        <x:v>43</x:v>
      </x:c>
      <x:c r="D103" s="13" t="s">
        <x:v>48</x:v>
      </x:c>
      <x:c r="E103" s="13" t="s">
        <x:v>41</x:v>
      </x:c>
      <x:c r="F103" s="13" t="s">
        <x:v>214</x:v>
      </x:c>
      <x:c r="G103" s="13" t="s">
        <x:v>307</x:v>
      </x:c>
      <x:c r="H103" s="13" t="s">
        <x:v>308</x:v>
      </x:c>
      <x:c r="I103" s="21" t="s">
        <x:v>34</x:v>
      </x:c>
      <x:c r="J103" s="13" t="s">
        <x:v>108</x:v>
      </x:c>
      <x:c r="K103" s="13"/>
      <x:c r="L103" s="13"/>
      <x:c r="M103" s="13"/>
      <x:c r="N103" s="15" t="s">
        <x:v>411</x:v>
      </x:c>
      <x:c r="O103" s="15"/>
    </x:row>
    <x:row r="104" ht="57.45000076293945" hidden="0">
      <x:c r="A104" s="16" t="s">
        <x:v>429</x:v>
      </x:c>
      <x:c r="B104" s="17" t="s">
        <x:v>430</x:v>
      </x:c>
      <x:c r="C104" s="17" t="s">
        <x:v>43</x:v>
      </x:c>
      <x:c r="D104" s="17" t="s">
        <x:v>48</x:v>
      </x:c>
      <x:c r="E104" s="17" t="s">
        <x:v>41</x:v>
      </x:c>
      <x:c r="F104" s="17" t="s">
        <x:v>214</x:v>
      </x:c>
      <x:c r="G104" s="17" t="s">
        <x:v>307</x:v>
      </x:c>
      <x:c r="H104" s="17" t="s">
        <x:v>308</x:v>
      </x:c>
      <x:c r="I104" s="18" t="s">
        <x:v>34</x:v>
      </x:c>
      <x:c r="J104" s="17" t="s">
        <x:v>108</x:v>
      </x:c>
      <x:c r="K104" s="17"/>
      <x:c r="L104" s="17"/>
      <x:c r="M104" s="17"/>
      <x:c r="N104" s="19" t="s">
        <x:v>411</x:v>
      </x:c>
      <x:c r="O104" s="19"/>
    </x:row>
    <x:row r="105" ht="57.45000076293945" hidden="0">
      <x:c r="A105" s="12" t="s">
        <x:v>431</x:v>
      </x:c>
      <x:c r="B105" s="13" t="s">
        <x:v>432</x:v>
      </x:c>
      <x:c r="C105" s="13" t="s">
        <x:v>43</x:v>
      </x:c>
      <x:c r="D105" s="13" t="s">
        <x:v>48</x:v>
      </x:c>
      <x:c r="E105" s="13" t="s">
        <x:v>41</x:v>
      </x:c>
      <x:c r="F105" s="13" t="s">
        <x:v>214</x:v>
      </x:c>
      <x:c r="G105" s="13" t="s">
        <x:v>307</x:v>
      </x:c>
      <x:c r="H105" s="13" t="s">
        <x:v>308</x:v>
      </x:c>
      <x:c r="I105" s="21" t="s">
        <x:v>34</x:v>
      </x:c>
      <x:c r="J105" s="13" t="s">
        <x:v>108</x:v>
      </x:c>
      <x:c r="K105" s="13"/>
      <x:c r="L105" s="13"/>
      <x:c r="M105" s="13"/>
      <x:c r="N105" s="15" t="s">
        <x:v>411</x:v>
      </x:c>
      <x:c r="O105" s="15"/>
    </x:row>
    <x:row r="106" ht="57.45000076293945" hidden="0">
      <x:c r="A106" s="16" t="s">
        <x:v>433</x:v>
      </x:c>
      <x:c r="B106" s="17" t="s">
        <x:v>434</x:v>
      </x:c>
      <x:c r="C106" s="17" t="s">
        <x:v>43</x:v>
      </x:c>
      <x:c r="D106" s="17" t="s">
        <x:v>48</x:v>
      </x:c>
      <x:c r="E106" s="17" t="s">
        <x:v>41</x:v>
      </x:c>
      <x:c r="F106" s="17" t="s">
        <x:v>214</x:v>
      </x:c>
      <x:c r="G106" s="17" t="s">
        <x:v>307</x:v>
      </x:c>
      <x:c r="H106" s="17" t="s">
        <x:v>308</x:v>
      </x:c>
      <x:c r="I106" s="18" t="s">
        <x:v>34</x:v>
      </x:c>
      <x:c r="J106" s="17" t="s">
        <x:v>108</x:v>
      </x:c>
      <x:c r="K106" s="17"/>
      <x:c r="L106" s="17"/>
      <x:c r="M106" s="17"/>
      <x:c r="N106" s="19" t="s">
        <x:v>411</x:v>
      </x:c>
      <x:c r="O106" s="19"/>
    </x:row>
    <x:row r="107" ht="57.45000076293945" hidden="0">
      <x:c r="A107" s="12" t="s">
        <x:v>435</x:v>
      </x:c>
      <x:c r="B107" s="13" t="s">
        <x:v>436</x:v>
      </x:c>
      <x:c r="C107" s="13" t="s">
        <x:v>43</x:v>
      </x:c>
      <x:c r="D107" s="13" t="s">
        <x:v>48</x:v>
      </x:c>
      <x:c r="E107" s="13" t="s">
        <x:v>41</x:v>
      </x:c>
      <x:c r="F107" s="13" t="s">
        <x:v>214</x:v>
      </x:c>
      <x:c r="G107" s="13" t="s">
        <x:v>307</x:v>
      </x:c>
      <x:c r="H107" s="13" t="s">
        <x:v>308</x:v>
      </x:c>
      <x:c r="I107" s="21" t="s">
        <x:v>34</x:v>
      </x:c>
      <x:c r="J107" s="13" t="s">
        <x:v>108</x:v>
      </x:c>
      <x:c r="K107" s="13"/>
      <x:c r="L107" s="13"/>
      <x:c r="M107" s="13"/>
      <x:c r="N107" s="15" t="s">
        <x:v>411</x:v>
      </x:c>
      <x:c r="O107" s="15"/>
    </x:row>
    <x:row r="108" ht="57.45000076293945" hidden="0">
      <x:c r="A108" s="16" t="s">
        <x:v>437</x:v>
      </x:c>
      <x:c r="B108" s="17" t="s">
        <x:v>438</x:v>
      </x:c>
      <x:c r="C108" s="17" t="s">
        <x:v>43</x:v>
      </x:c>
      <x:c r="D108" s="17" t="s">
        <x:v>48</x:v>
      </x:c>
      <x:c r="E108" s="17" t="s">
        <x:v>41</x:v>
      </x:c>
      <x:c r="F108" s="17" t="s">
        <x:v>214</x:v>
      </x:c>
      <x:c r="G108" s="17" t="s">
        <x:v>307</x:v>
      </x:c>
      <x:c r="H108" s="17" t="s">
        <x:v>308</x:v>
      </x:c>
      <x:c r="I108" s="18" t="s">
        <x:v>34</x:v>
      </x:c>
      <x:c r="J108" s="17" t="s">
        <x:v>108</x:v>
      </x:c>
      <x:c r="K108" s="17"/>
      <x:c r="L108" s="17"/>
      <x:c r="M108" s="17"/>
      <x:c r="N108" s="19" t="s">
        <x:v>411</x:v>
      </x:c>
      <x:c r="O108" s="19"/>
    </x:row>
    <x:row r="109" ht="57.45000076293945" hidden="0">
      <x:c r="A109" s="12" t="s">
        <x:v>439</x:v>
      </x:c>
      <x:c r="B109" s="13" t="s">
        <x:v>440</x:v>
      </x:c>
      <x:c r="C109" s="13" t="s">
        <x:v>43</x:v>
      </x:c>
      <x:c r="D109" s="13" t="s">
        <x:v>48</x:v>
      </x:c>
      <x:c r="E109" s="13" t="s">
        <x:v>41</x:v>
      </x:c>
      <x:c r="F109" s="13" t="s">
        <x:v>214</x:v>
      </x:c>
      <x:c r="G109" s="13" t="s">
        <x:v>307</x:v>
      </x:c>
      <x:c r="H109" s="13" t="s">
        <x:v>308</x:v>
      </x:c>
      <x:c r="I109" s="21" t="s">
        <x:v>34</x:v>
      </x:c>
      <x:c r="J109" s="13" t="s">
        <x:v>108</x:v>
      </x:c>
      <x:c r="K109" s="13"/>
      <x:c r="L109" s="13"/>
      <x:c r="M109" s="13"/>
      <x:c r="N109" s="15" t="s">
        <x:v>411</x:v>
      </x:c>
      <x:c r="O109" s="15"/>
    </x:row>
    <x:row r="110" ht="57.45000076293945" hidden="0">
      <x:c r="A110" s="16" t="s">
        <x:v>441</x:v>
      </x:c>
      <x:c r="B110" s="17" t="s">
        <x:v>442</x:v>
      </x:c>
      <x:c r="C110" s="17" t="s">
        <x:v>43</x:v>
      </x:c>
      <x:c r="D110" s="17" t="s">
        <x:v>48</x:v>
      </x:c>
      <x:c r="E110" s="17" t="s">
        <x:v>41</x:v>
      </x:c>
      <x:c r="F110" s="17" t="s">
        <x:v>214</x:v>
      </x:c>
      <x:c r="G110" s="17" t="s">
        <x:v>307</x:v>
      </x:c>
      <x:c r="H110" s="17" t="s">
        <x:v>308</x:v>
      </x:c>
      <x:c r="I110" s="18" t="s">
        <x:v>34</x:v>
      </x:c>
      <x:c r="J110" s="17" t="s">
        <x:v>108</x:v>
      </x:c>
      <x:c r="K110" s="17"/>
      <x:c r="L110" s="17"/>
      <x:c r="M110" s="17"/>
      <x:c r="N110" s="19" t="s">
        <x:v>411</x:v>
      </x:c>
      <x:c r="O110" s="19"/>
    </x:row>
    <x:row r="111" ht="15" hidden="0">
      <x:c r="A111" s="12" t="s">
        <x:v>443</x:v>
      </x:c>
      <x:c r="B111" s="13" t="s">
        <x:v>444</x:v>
      </x:c>
      <x:c r="C111" s="13" t="s">
        <x:v>50</x:v>
      </x:c>
      <x:c r="D111" s="13" t="s">
        <x:v>50</x:v>
      </x:c>
      <x:c r="E111" s="13" t="s">
        <x:v>44</x:v>
      </x:c>
      <x:c r="F111" s="13" t="s">
        <x:v>214</x:v>
      </x:c>
      <x:c r="G111" s="13"/>
      <x:c r="H111" s="13"/>
      <x:c r="I111" s="21" t="s">
        <x:v>34</x:v>
      </x:c>
      <x:c r="J111" s="13" t="s">
        <x:v>108</x:v>
      </x:c>
      <x:c r="K111" s="13"/>
      <x:c r="L111" s="13" t="s">
        <x:v>445</x:v>
      </x:c>
      <x:c r="M111" s="13"/>
      <x:c r="N111" s="15"/>
      <x:c r="O111" s="15"/>
    </x:row>
    <x:row r="112" ht="15" hidden="0">
      <x:c r="A112" s="16" t="s">
        <x:v>446</x:v>
      </x:c>
      <x:c r="B112" s="17" t="s">
        <x:v>447</x:v>
      </x:c>
      <x:c r="C112" s="17" t="s">
        <x:v>50</x:v>
      </x:c>
      <x:c r="D112" s="17" t="s">
        <x:v>50</x:v>
      </x:c>
      <x:c r="E112" s="17" t="s">
        <x:v>44</x:v>
      </x:c>
      <x:c r="F112" s="17" t="s">
        <x:v>214</x:v>
      </x:c>
      <x:c r="G112" s="17"/>
      <x:c r="H112" s="17"/>
      <x:c r="I112" s="18" t="s">
        <x:v>34</x:v>
      </x:c>
      <x:c r="J112" s="17" t="s">
        <x:v>108</x:v>
      </x:c>
      <x:c r="K112" s="17"/>
      <x:c r="L112" s="17" t="s">
        <x:v>448</x:v>
      </x:c>
      <x:c r="M112" s="17"/>
      <x:c r="N112" s="19"/>
      <x:c r="O112" s="19"/>
    </x:row>
    <x:row r="113" ht="15" hidden="0">
      <x:c r="A113" s="12" t="s">
        <x:v>449</x:v>
      </x:c>
      <x:c r="B113" s="13" t="s">
        <x:v>450</x:v>
      </x:c>
      <x:c r="C113" s="13" t="s">
        <x:v>50</x:v>
      </x:c>
      <x:c r="D113" s="13" t="s">
        <x:v>50</x:v>
      </x:c>
      <x:c r="E113" s="13" t="s">
        <x:v>44</x:v>
      </x:c>
      <x:c r="F113" s="13" t="s">
        <x:v>214</x:v>
      </x:c>
      <x:c r="G113" s="13"/>
      <x:c r="H113" s="13"/>
      <x:c r="I113" s="21" t="s">
        <x:v>34</x:v>
      </x:c>
      <x:c r="J113" s="13" t="s">
        <x:v>108</x:v>
      </x:c>
      <x:c r="K113" s="13"/>
      <x:c r="L113" s="13" t="s">
        <x:v>448</x:v>
      </x:c>
      <x:c r="M113" s="13"/>
      <x:c r="N113" s="15"/>
      <x:c r="O113" s="15"/>
    </x:row>
    <x:row r="114" ht="15" hidden="0">
      <x:c r="A114" s="16" t="s">
        <x:v>451</x:v>
      </x:c>
      <x:c r="B114" s="17" t="s">
        <x:v>452</x:v>
      </x:c>
      <x:c r="C114" s="17" t="s">
        <x:v>50</x:v>
      </x:c>
      <x:c r="D114" s="17" t="s">
        <x:v>50</x:v>
      </x:c>
      <x:c r="E114" s="17" t="s">
        <x:v>44</x:v>
      </x:c>
      <x:c r="F114" s="17" t="s">
        <x:v>214</x:v>
      </x:c>
      <x:c r="G114" s="17"/>
      <x:c r="H114" s="17"/>
      <x:c r="I114" s="18" t="s">
        <x:v>34</x:v>
      </x:c>
      <x:c r="J114" s="17" t="s">
        <x:v>108</x:v>
      </x:c>
      <x:c r="K114" s="17"/>
      <x:c r="L114" s="17" t="s">
        <x:v>453</x:v>
      </x:c>
      <x:c r="M114" s="17"/>
      <x:c r="N114" s="19"/>
      <x:c r="O114" s="19"/>
    </x:row>
    <x:row r="115" ht="15" hidden="0">
      <x:c r="A115" s="12" t="s">
        <x:v>454</x:v>
      </x:c>
      <x:c r="B115" s="13" t="s">
        <x:v>455</x:v>
      </x:c>
      <x:c r="C115" s="13" t="s">
        <x:v>50</x:v>
      </x:c>
      <x:c r="D115" s="13" t="s">
        <x:v>50</x:v>
      </x:c>
      <x:c r="E115" s="13" t="s">
        <x:v>44</x:v>
      </x:c>
      <x:c r="F115" s="13" t="s">
        <x:v>214</x:v>
      </x:c>
      <x:c r="G115" s="13"/>
      <x:c r="H115" s="13"/>
      <x:c r="I115" s="21" t="s">
        <x:v>34</x:v>
      </x:c>
      <x:c r="J115" s="13" t="s">
        <x:v>108</x:v>
      </x:c>
      <x:c r="K115" s="13"/>
      <x:c r="L115" s="13" t="s">
        <x:v>299</x:v>
      </x:c>
      <x:c r="M115" s="13"/>
      <x:c r="N115" s="15"/>
      <x:c r="O115" s="15"/>
    </x:row>
    <x:row r="116" ht="15" hidden="0">
      <x:c r="A116" s="16" t="s">
        <x:v>456</x:v>
      </x:c>
      <x:c r="B116" s="17" t="s">
        <x:v>457</x:v>
      </x:c>
      <x:c r="C116" s="17" t="s">
        <x:v>50</x:v>
      </x:c>
      <x:c r="D116" s="17" t="s">
        <x:v>50</x:v>
      </x:c>
      <x:c r="E116" s="17" t="s">
        <x:v>44</x:v>
      </x:c>
      <x:c r="F116" s="17" t="s">
        <x:v>214</x:v>
      </x:c>
      <x:c r="G116" s="17"/>
      <x:c r="H116" s="17"/>
      <x:c r="I116" s="18" t="s">
        <x:v>34</x:v>
      </x:c>
      <x:c r="J116" s="17" t="s">
        <x:v>108</x:v>
      </x:c>
      <x:c r="K116" s="17"/>
      <x:c r="L116" s="17" t="s">
        <x:v>458</x:v>
      </x:c>
      <x:c r="M116" s="17"/>
      <x:c r="N116" s="19"/>
      <x:c r="O116" s="19"/>
    </x:row>
    <x:row r="117" ht="15" hidden="0">
      <x:c r="A117" s="12" t="s">
        <x:v>459</x:v>
      </x:c>
      <x:c r="B117" s="13" t="s">
        <x:v>460</x:v>
      </x:c>
      <x:c r="C117" s="13" t="s">
        <x:v>50</x:v>
      </x:c>
      <x:c r="D117" s="13" t="s">
        <x:v>50</x:v>
      </x:c>
      <x:c r="E117" s="13" t="s">
        <x:v>44</x:v>
      </x:c>
      <x:c r="F117" s="13" t="s">
        <x:v>214</x:v>
      </x:c>
      <x:c r="G117" s="13"/>
      <x:c r="H117" s="13"/>
      <x:c r="I117" s="21" t="s">
        <x:v>34</x:v>
      </x:c>
      <x:c r="J117" s="13" t="s">
        <x:v>108</x:v>
      </x:c>
      <x:c r="K117" s="13"/>
      <x:c r="L117" s="13" t="s">
        <x:v>461</x:v>
      </x:c>
      <x:c r="M117" s="13"/>
      <x:c r="N117" s="15"/>
      <x:c r="O117" s="15"/>
    </x:row>
    <x:row r="118" ht="15" hidden="0">
      <x:c r="A118" s="16" t="s">
        <x:v>462</x:v>
      </x:c>
      <x:c r="B118" s="17" t="s">
        <x:v>463</x:v>
      </x:c>
      <x:c r="C118" s="17" t="s">
        <x:v>50</x:v>
      </x:c>
      <x:c r="D118" s="17" t="s">
        <x:v>50</x:v>
      </x:c>
      <x:c r="E118" s="17" t="s">
        <x:v>44</x:v>
      </x:c>
      <x:c r="F118" s="17" t="s">
        <x:v>214</x:v>
      </x:c>
      <x:c r="G118" s="17"/>
      <x:c r="H118" s="17"/>
      <x:c r="I118" s="18" t="s">
        <x:v>34</x:v>
      </x:c>
      <x:c r="J118" s="17" t="s">
        <x:v>108</x:v>
      </x:c>
      <x:c r="K118" s="17"/>
      <x:c r="L118" s="17" t="s">
        <x:v>299</x:v>
      </x:c>
      <x:c r="M118" s="17"/>
      <x:c r="N118" s="19"/>
      <x:c r="O118" s="19"/>
    </x:row>
    <x:row r="119" ht="15" hidden="0">
      <x:c r="A119" s="12" t="s">
        <x:v>464</x:v>
      </x:c>
      <x:c r="B119" s="13" t="s">
        <x:v>465</x:v>
      </x:c>
      <x:c r="C119" s="13" t="s">
        <x:v>50</x:v>
      </x:c>
      <x:c r="D119" s="13" t="s">
        <x:v>50</x:v>
      </x:c>
      <x:c r="E119" s="13" t="s">
        <x:v>44</x:v>
      </x:c>
      <x:c r="F119" s="13" t="s">
        <x:v>214</x:v>
      </x:c>
      <x:c r="G119" s="13" t="s">
        <x:v>466</x:v>
      </x:c>
      <x:c r="H119" s="13" t="s">
        <x:v>467</x:v>
      </x:c>
      <x:c r="I119" s="14" t="s">
        <x:v>33</x:v>
      </x:c>
      <x:c r="J119" s="13" t="s">
        <x:v>468</x:v>
      </x:c>
      <x:c r="K119" s="13" t="s">
        <x:v>469</x:v>
      </x:c>
      <x:c r="L119" s="13" t="s">
        <x:v>470</x:v>
      </x:c>
      <x:c r="M119" s="13"/>
      <x:c r="N119" s="15"/>
      <x:c r="O119" s="15" t="s">
        <x:v>471</x:v>
      </x:c>
    </x:row>
    <x:row r="120" ht="35.04999923706055" hidden="0">
      <x:c r="A120" s="16" t="s">
        <x:v>472</x:v>
      </x:c>
      <x:c r="B120" s="17" t="s">
        <x:v>473</x:v>
      </x:c>
      <x:c r="C120" s="17" t="s">
        <x:v>50</x:v>
      </x:c>
      <x:c r="D120" s="17" t="s">
        <x:v>50</x:v>
      </x:c>
      <x:c r="E120" s="17" t="s">
        <x:v>44</x:v>
      </x:c>
      <x:c r="F120" s="17" t="s">
        <x:v>214</x:v>
      </x:c>
      <x:c r="G120" s="17"/>
      <x:c r="H120" s="17"/>
      <x:c r="I120" s="18" t="s">
        <x:v>34</x:v>
      </x:c>
      <x:c r="J120" s="17" t="s">
        <x:v>108</x:v>
      </x:c>
      <x:c r="K120" s="17"/>
      <x:c r="L120" s="17" t="s">
        <x:v>474</x:v>
      </x:c>
      <x:c r="M120" s="17"/>
      <x:c r="N120" s="19"/>
      <x:c r="O120" s="19" t="s">
        <x:v>475</x:v>
      </x:c>
    </x:row>
    <x:row r="121" ht="15" hidden="0">
      <x:c r="A121" s="12" t="s">
        <x:v>476</x:v>
      </x:c>
      <x:c r="B121" s="13" t="s">
        <x:v>477</x:v>
      </x:c>
      <x:c r="C121" s="13" t="s">
        <x:v>50</x:v>
      </x:c>
      <x:c r="D121" s="13" t="s">
        <x:v>50</x:v>
      </x:c>
      <x:c r="E121" s="13" t="s">
        <x:v>44</x:v>
      </x:c>
      <x:c r="F121" s="13" t="s">
        <x:v>214</x:v>
      </x:c>
      <x:c r="G121" s="13"/>
      <x:c r="H121" s="13"/>
      <x:c r="I121" s="21" t="s">
        <x:v>34</x:v>
      </x:c>
      <x:c r="J121" s="13" t="s">
        <x:v>108</x:v>
      </x:c>
      <x:c r="K121" s="13"/>
      <x:c r="L121" s="13" t="s">
        <x:v>478</x:v>
      </x:c>
      <x:c r="M121" s="13"/>
      <x:c r="N121" s="15"/>
      <x:c r="O121" s="15"/>
    </x:row>
    <x:row r="122" ht="15" hidden="0">
      <x:c r="A122" s="16" t="s">
        <x:v>479</x:v>
      </x:c>
      <x:c r="B122" s="17" t="s">
        <x:v>480</x:v>
      </x:c>
      <x:c r="C122" s="17" t="s">
        <x:v>50</x:v>
      </x:c>
      <x:c r="D122" s="17" t="s">
        <x:v>50</x:v>
      </x:c>
      <x:c r="E122" s="17" t="s">
        <x:v>44</x:v>
      </x:c>
      <x:c r="F122" s="17" t="s">
        <x:v>214</x:v>
      </x:c>
      <x:c r="G122" s="17"/>
      <x:c r="H122" s="17"/>
      <x:c r="I122" s="18" t="s">
        <x:v>34</x:v>
      </x:c>
      <x:c r="J122" s="17" t="s">
        <x:v>108</x:v>
      </x:c>
      <x:c r="K122" s="17"/>
      <x:c r="L122" s="17" t="s">
        <x:v>481</x:v>
      </x:c>
      <x:c r="M122" s="17"/>
      <x:c r="N122" s="19"/>
      <x:c r="O122" s="19"/>
    </x:row>
    <x:row r="123" ht="15" hidden="0">
      <x:c r="A123" s="12" t="s">
        <x:v>482</x:v>
      </x:c>
      <x:c r="B123" s="13" t="s">
        <x:v>483</x:v>
      </x:c>
      <x:c r="C123" s="13" t="s">
        <x:v>50</x:v>
      </x:c>
      <x:c r="D123" s="13" t="s">
        <x:v>50</x:v>
      </x:c>
      <x:c r="E123" s="13" t="s">
        <x:v>44</x:v>
      </x:c>
      <x:c r="F123" s="13" t="s">
        <x:v>214</x:v>
      </x:c>
      <x:c r="G123" s="13"/>
      <x:c r="H123" s="13"/>
      <x:c r="I123" s="21" t="s">
        <x:v>34</x:v>
      </x:c>
      <x:c r="J123" s="13" t="s">
        <x:v>108</x:v>
      </x:c>
      <x:c r="K123" s="13"/>
      <x:c r="L123" s="13" t="s">
        <x:v>484</x:v>
      </x:c>
      <x:c r="M123" s="13"/>
      <x:c r="N123" s="15"/>
      <x:c r="O123" s="15"/>
    </x:row>
    <x:row r="124" ht="15" hidden="0">
      <x:c r="A124" s="16" t="s">
        <x:v>485</x:v>
      </x:c>
      <x:c r="B124" s="17" t="s">
        <x:v>388</x:v>
      </x:c>
      <x:c r="C124" s="17" t="s">
        <x:v>50</x:v>
      </x:c>
      <x:c r="D124" s="17" t="s">
        <x:v>43</x:v>
      </x:c>
      <x:c r="E124" s="17" t="s">
        <x:v>43</x:v>
      </x:c>
      <x:c r="F124" s="17" t="s">
        <x:v>214</x:v>
      </x:c>
      <x:c r="G124" s="17" t="s">
        <x:v>392</x:v>
      </x:c>
      <x:c r="H124" s="17" t="s">
        <x:v>393</x:v>
      </x:c>
      <x:c r="I124" s="18" t="s">
        <x:v>34</x:v>
      </x:c>
      <x:c r="J124" s="17" t="s">
        <x:v>108</x:v>
      </x:c>
      <x:c r="K124" s="17"/>
      <x:c r="L124" s="17" t="s">
        <x:v>478</x:v>
      </x:c>
      <x:c r="M124" s="17"/>
      <x:c r="N124" s="19"/>
      <x:c r="O124" s="19"/>
    </x:row>
    <x:row r="125" ht="23.850000381469727" hidden="0">
      <x:c r="A125" s="12" t="s">
        <x:v>486</x:v>
      </x:c>
      <x:c r="B125" s="13" t="s">
        <x:v>487</x:v>
      </x:c>
      <x:c r="C125" s="13" t="s">
        <x:v>50</x:v>
      </x:c>
      <x:c r="D125" s="13" t="s">
        <x:v>43</x:v>
      </x:c>
      <x:c r="E125" s="13" t="s">
        <x:v>43</x:v>
      </x:c>
      <x:c r="F125" s="13" t="s">
        <x:v>214</x:v>
      </x:c>
      <x:c r="G125" s="13" t="s">
        <x:v>392</x:v>
      </x:c>
      <x:c r="H125" s="13" t="s">
        <x:v>393</x:v>
      </x:c>
      <x:c r="I125" s="21" t="s">
        <x:v>34</x:v>
      </x:c>
      <x:c r="J125" s="13" t="s">
        <x:v>108</x:v>
      </x:c>
      <x:c r="K125" s="13"/>
      <x:c r="L125" s="13" t="s">
        <x:v>488</x:v>
      </x:c>
      <x:c r="M125" s="13" t="s">
        <x:v>278</x:v>
      </x:c>
      <x:c r="N125" s="15"/>
      <x:c r="O125" s="15" t="s">
        <x:v>489</x:v>
      </x:c>
    </x:row>
    <x:row r="126" ht="15" hidden="0">
      <x:c r="A126" s="16" t="s">
        <x:v>490</x:v>
      </x:c>
      <x:c r="B126" s="17" t="s">
        <x:v>491</x:v>
      </x:c>
      <x:c r="C126" s="17" t="s">
        <x:v>50</x:v>
      </x:c>
      <x:c r="D126" s="17" t="s">
        <x:v>50</x:v>
      </x:c>
      <x:c r="E126" s="17" t="s">
        <x:v>44</x:v>
      </x:c>
      <x:c r="F126" s="17" t="s">
        <x:v>214</x:v>
      </x:c>
      <x:c r="G126" s="17"/>
      <x:c r="H126" s="17"/>
      <x:c r="I126" s="18" t="s">
        <x:v>34</x:v>
      </x:c>
      <x:c r="J126" s="17" t="s">
        <x:v>108</x:v>
      </x:c>
      <x:c r="K126" s="17"/>
      <x:c r="L126" s="17" t="s">
        <x:v>492</x:v>
      </x:c>
      <x:c r="M126" s="17"/>
      <x:c r="N126" s="19"/>
      <x:c r="O126" s="19"/>
    </x:row>
    <x:row r="127" ht="23.850000381469727" hidden="0">
      <x:c r="A127" s="12" t="s">
        <x:v>493</x:v>
      </x:c>
      <x:c r="B127" s="13" t="s">
        <x:v>494</x:v>
      </x:c>
      <x:c r="C127" s="13" t="s">
        <x:v>50</x:v>
      </x:c>
      <x:c r="D127" s="13" t="s">
        <x:v>50</x:v>
      </x:c>
      <x:c r="E127" s="13" t="s">
        <x:v>44</x:v>
      </x:c>
      <x:c r="F127" s="13" t="s">
        <x:v>214</x:v>
      </x:c>
      <x:c r="G127" s="13" t="s">
        <x:v>466</x:v>
      </x:c>
      <x:c r="H127" s="13" t="s">
        <x:v>467</x:v>
      </x:c>
      <x:c r="I127" s="14" t="s">
        <x:v>33</x:v>
      </x:c>
      <x:c r="J127" s="13" t="s">
        <x:v>495</x:v>
      </x:c>
      <x:c r="K127" s="13" t="s">
        <x:v>469</x:v>
      </x:c>
      <x:c r="L127" s="13" t="s">
        <x:v>496</x:v>
      </x:c>
      <x:c r="M127" s="13"/>
      <x:c r="N127" s="15"/>
      <x:c r="O127" s="15" t="s">
        <x:v>497</x:v>
      </x:c>
    </x:row>
    <x:row r="128" ht="15" hidden="0">
      <x:c r="A128" s="16" t="s">
        <x:v>498</x:v>
      </x:c>
      <x:c r="B128" s="17" t="s">
        <x:v>386</x:v>
      </x:c>
      <x:c r="C128" s="17" t="s">
        <x:v>50</x:v>
      </x:c>
      <x:c r="D128" s="17" t="s">
        <x:v>50</x:v>
      </x:c>
      <x:c r="E128" s="17" t="s">
        <x:v>44</x:v>
      </x:c>
      <x:c r="F128" s="17" t="s">
        <x:v>214</x:v>
      </x:c>
      <x:c r="G128" s="17"/>
      <x:c r="H128" s="17"/>
      <x:c r="I128" s="18" t="s">
        <x:v>34</x:v>
      </x:c>
      <x:c r="J128" s="17" t="s">
        <x:v>108</x:v>
      </x:c>
      <x:c r="K128" s="17"/>
      <x:c r="L128" s="17" t="s">
        <x:v>499</x:v>
      </x:c>
      <x:c r="M128" s="17"/>
      <x:c r="N128" s="19"/>
      <x:c r="O128" s="19"/>
    </x:row>
    <x:row r="129" ht="15" hidden="0">
      <x:c r="A129" s="12" t="s">
        <x:v>500</x:v>
      </x:c>
      <x:c r="B129" s="13" t="s">
        <x:v>501</x:v>
      </x:c>
      <x:c r="C129" s="13" t="s">
        <x:v>50</x:v>
      </x:c>
      <x:c r="D129" s="13" t="s">
        <x:v>50</x:v>
      </x:c>
      <x:c r="E129" s="13" t="s">
        <x:v>44</x:v>
      </x:c>
      <x:c r="F129" s="13" t="s">
        <x:v>214</x:v>
      </x:c>
      <x:c r="G129" s="13"/>
      <x:c r="H129" s="13"/>
      <x:c r="I129" s="21" t="s">
        <x:v>34</x:v>
      </x:c>
      <x:c r="J129" s="13" t="s">
        <x:v>108</x:v>
      </x:c>
      <x:c r="K129" s="13"/>
      <x:c r="L129" s="13" t="s">
        <x:v>502</x:v>
      </x:c>
      <x:c r="M129" s="13"/>
      <x:c r="N129" s="15"/>
      <x:c r="O129" s="15"/>
    </x:row>
    <x:row r="130" ht="15" hidden="0">
      <x:c r="A130" s="16" t="s">
        <x:v>503</x:v>
      </x:c>
      <x:c r="B130" s="17" t="s">
        <x:v>504</x:v>
      </x:c>
      <x:c r="C130" s="17" t="s">
        <x:v>50</x:v>
      </x:c>
      <x:c r="D130" s="17" t="s">
        <x:v>50</x:v>
      </x:c>
      <x:c r="E130" s="17" t="s">
        <x:v>44</x:v>
      </x:c>
      <x:c r="F130" s="17" t="s">
        <x:v>214</x:v>
      </x:c>
      <x:c r="G130" s="17"/>
      <x:c r="H130" s="17"/>
      <x:c r="I130" s="18" t="s">
        <x:v>34</x:v>
      </x:c>
      <x:c r="J130" s="17" t="s">
        <x:v>108</x:v>
      </x:c>
      <x:c r="K130" s="17"/>
      <x:c r="L130" s="17" t="s">
        <x:v>267</x:v>
      </x:c>
      <x:c r="M130" s="17"/>
      <x:c r="N130" s="19"/>
      <x:c r="O130" s="19"/>
    </x:row>
    <x:row r="131" ht="15" hidden="0">
      <x:c r="A131" s="12" t="s">
        <x:v>505</x:v>
      </x:c>
      <x:c r="B131" s="13" t="s">
        <x:v>506</x:v>
      </x:c>
      <x:c r="C131" s="13" t="s">
        <x:v>50</x:v>
      </x:c>
      <x:c r="D131" s="13" t="s">
        <x:v>50</x:v>
      </x:c>
      <x:c r="E131" s="13" t="s">
        <x:v>44</x:v>
      </x:c>
      <x:c r="F131" s="13" t="s">
        <x:v>214</x:v>
      </x:c>
      <x:c r="G131" s="13" t="s">
        <x:v>507</x:v>
      </x:c>
      <x:c r="H131" s="13" t="s">
        <x:v>508</x:v>
      </x:c>
      <x:c r="I131" s="21" t="s">
        <x:v>34</x:v>
      </x:c>
      <x:c r="J131" s="13" t="s">
        <x:v>108</x:v>
      </x:c>
      <x:c r="K131" s="13"/>
      <x:c r="L131" s="13" t="s">
        <x:v>509</x:v>
      </x:c>
      <x:c r="M131" s="13"/>
      <x:c r="N131" s="15"/>
      <x:c r="O131" s="15"/>
    </x:row>
    <x:row r="132" ht="15" hidden="0">
      <x:c r="A132" s="16" t="s">
        <x:v>510</x:v>
      </x:c>
      <x:c r="B132" s="17" t="s">
        <x:v>511</x:v>
      </x:c>
      <x:c r="C132" s="17" t="s">
        <x:v>50</x:v>
      </x:c>
      <x:c r="D132" s="17" t="s">
        <x:v>50</x:v>
      </x:c>
      <x:c r="E132" s="17" t="s">
        <x:v>44</x:v>
      </x:c>
      <x:c r="F132" s="17" t="s">
        <x:v>214</x:v>
      </x:c>
      <x:c r="G132" s="17" t="s">
        <x:v>507</x:v>
      </x:c>
      <x:c r="H132" s="17" t="s">
        <x:v>508</x:v>
      </x:c>
      <x:c r="I132" s="18" t="s">
        <x:v>34</x:v>
      </x:c>
      <x:c r="J132" s="17" t="s">
        <x:v>108</x:v>
      </x:c>
      <x:c r="K132" s="17"/>
      <x:c r="L132" s="17" t="s">
        <x:v>509</x:v>
      </x:c>
      <x:c r="M132" s="17" t="s">
        <x:v>512</x:v>
      </x:c>
      <x:c r="N132" s="19"/>
      <x:c r="O132" s="19"/>
    </x:row>
    <x:row r="133" ht="15" hidden="0">
      <x:c r="A133" s="12" t="s">
        <x:v>513</x:v>
      </x:c>
      <x:c r="B133" s="13" t="s">
        <x:v>514</x:v>
      </x:c>
      <x:c r="C133" s="13" t="s">
        <x:v>50</x:v>
      </x:c>
      <x:c r="D133" s="13" t="s">
        <x:v>50</x:v>
      </x:c>
      <x:c r="E133" s="13" t="s">
        <x:v>44</x:v>
      </x:c>
      <x:c r="F133" s="13" t="s">
        <x:v>214</x:v>
      </x:c>
      <x:c r="G133" s="13" t="s">
        <x:v>507</x:v>
      </x:c>
      <x:c r="H133" s="13" t="s">
        <x:v>508</x:v>
      </x:c>
      <x:c r="I133" s="21" t="s">
        <x:v>34</x:v>
      </x:c>
      <x:c r="J133" s="13" t="s">
        <x:v>108</x:v>
      </x:c>
      <x:c r="K133" s="13"/>
      <x:c r="L133" s="13" t="s">
        <x:v>299</x:v>
      </x:c>
      <x:c r="M133" s="13" t="s">
        <x:v>512</x:v>
      </x:c>
      <x:c r="N133" s="15"/>
      <x:c r="O133" s="15"/>
    </x:row>
    <x:row r="134" ht="15" hidden="0">
      <x:c r="A134" s="16" t="s">
        <x:v>515</x:v>
      </x:c>
      <x:c r="B134" s="17" t="s">
        <x:v>516</x:v>
      </x:c>
      <x:c r="C134" s="17" t="s">
        <x:v>50</x:v>
      </x:c>
      <x:c r="D134" s="17" t="s">
        <x:v>50</x:v>
      </x:c>
      <x:c r="E134" s="17" t="s">
        <x:v>44</x:v>
      </x:c>
      <x:c r="F134" s="17" t="s">
        <x:v>214</x:v>
      </x:c>
      <x:c r="G134" s="17" t="s">
        <x:v>507</x:v>
      </x:c>
      <x:c r="H134" s="17" t="s">
        <x:v>508</x:v>
      </x:c>
      <x:c r="I134" s="18" t="s">
        <x:v>34</x:v>
      </x:c>
      <x:c r="J134" s="17" t="s">
        <x:v>108</x:v>
      </x:c>
      <x:c r="K134" s="17"/>
      <x:c r="L134" s="17" t="s">
        <x:v>509</x:v>
      </x:c>
      <x:c r="M134" s="17" t="s">
        <x:v>512</x:v>
      </x:c>
      <x:c r="N134" s="19"/>
      <x:c r="O134" s="19"/>
    </x:row>
    <x:row r="135" ht="15" hidden="0">
      <x:c r="A135" s="12" t="s">
        <x:v>517</x:v>
      </x:c>
      <x:c r="B135" s="13" t="s">
        <x:v>518</x:v>
      </x:c>
      <x:c r="C135" s="13" t="s">
        <x:v>50</x:v>
      </x:c>
      <x:c r="D135" s="13" t="s">
        <x:v>50</x:v>
      </x:c>
      <x:c r="E135" s="13" t="s">
        <x:v>44</x:v>
      </x:c>
      <x:c r="F135" s="13" t="s">
        <x:v>214</x:v>
      </x:c>
      <x:c r="G135" s="13" t="s">
        <x:v>507</x:v>
      </x:c>
      <x:c r="H135" s="13" t="s">
        <x:v>508</x:v>
      </x:c>
      <x:c r="I135" s="21" t="s">
        <x:v>34</x:v>
      </x:c>
      <x:c r="J135" s="13" t="s">
        <x:v>108</x:v>
      </x:c>
      <x:c r="K135" s="13"/>
      <x:c r="L135" s="13" t="s">
        <x:v>299</x:v>
      </x:c>
      <x:c r="M135" s="13" t="s">
        <x:v>512</x:v>
      </x:c>
      <x:c r="N135" s="15"/>
      <x:c r="O135" s="15"/>
    </x:row>
    <x:row r="136" ht="15" hidden="0">
      <x:c r="A136" s="16" t="s">
        <x:v>519</x:v>
      </x:c>
      <x:c r="B136" s="17" t="s">
        <x:v>520</x:v>
      </x:c>
      <x:c r="C136" s="17" t="s">
        <x:v>50</x:v>
      </x:c>
      <x:c r="D136" s="17" t="s">
        <x:v>50</x:v>
      </x:c>
      <x:c r="E136" s="17" t="s">
        <x:v>44</x:v>
      </x:c>
      <x:c r="F136" s="17" t="s">
        <x:v>214</x:v>
      </x:c>
      <x:c r="G136" s="17" t="s">
        <x:v>507</x:v>
      </x:c>
      <x:c r="H136" s="17" t="s">
        <x:v>508</x:v>
      </x:c>
      <x:c r="I136" s="18" t="s">
        <x:v>34</x:v>
      </x:c>
      <x:c r="J136" s="17" t="s">
        <x:v>108</x:v>
      </x:c>
      <x:c r="K136" s="17"/>
      <x:c r="L136" s="17" t="s">
        <x:v>509</x:v>
      </x:c>
      <x:c r="M136" s="17" t="s">
        <x:v>512</x:v>
      </x:c>
      <x:c r="N136" s="19"/>
      <x:c r="O136" s="19"/>
    </x:row>
    <x:row r="137" ht="15" hidden="0">
      <x:c r="A137" s="12" t="s">
        <x:v>521</x:v>
      </x:c>
      <x:c r="B137" s="13" t="s">
        <x:v>522</x:v>
      </x:c>
      <x:c r="C137" s="13" t="s">
        <x:v>50</x:v>
      </x:c>
      <x:c r="D137" s="13" t="s">
        <x:v>50</x:v>
      </x:c>
      <x:c r="E137" s="13" t="s">
        <x:v>44</x:v>
      </x:c>
      <x:c r="F137" s="13" t="s">
        <x:v>214</x:v>
      </x:c>
      <x:c r="G137" s="13" t="s">
        <x:v>507</x:v>
      </x:c>
      <x:c r="H137" s="13" t="s">
        <x:v>508</x:v>
      </x:c>
      <x:c r="I137" s="21" t="s">
        <x:v>34</x:v>
      </x:c>
      <x:c r="J137" s="13" t="s">
        <x:v>108</x:v>
      </x:c>
      <x:c r="K137" s="13"/>
      <x:c r="L137" s="13" t="s">
        <x:v>509</x:v>
      </x:c>
      <x:c r="M137" s="13" t="s">
        <x:v>512</x:v>
      </x:c>
      <x:c r="N137" s="15"/>
      <x:c r="O137" s="15"/>
    </x:row>
    <x:row r="138" ht="15" hidden="0">
      <x:c r="A138" s="16" t="s">
        <x:v>523</x:v>
      </x:c>
      <x:c r="B138" s="17" t="s">
        <x:v>388</x:v>
      </x:c>
      <x:c r="C138" s="17" t="s">
        <x:v>50</x:v>
      </x:c>
      <x:c r="D138" s="17" t="s">
        <x:v>50</x:v>
      </x:c>
      <x:c r="E138" s="17" t="s">
        <x:v>44</x:v>
      </x:c>
      <x:c r="F138" s="17" t="s">
        <x:v>214</x:v>
      </x:c>
      <x:c r="G138" s="17" t="s">
        <x:v>507</x:v>
      </x:c>
      <x:c r="H138" s="17" t="s">
        <x:v>508</x:v>
      </x:c>
      <x:c r="I138" s="18" t="s">
        <x:v>34</x:v>
      </x:c>
      <x:c r="J138" s="17" t="s">
        <x:v>108</x:v>
      </x:c>
      <x:c r="K138" s="17"/>
      <x:c r="L138" s="17" t="s">
        <x:v>478</x:v>
      </x:c>
      <x:c r="M138" s="17" t="s">
        <x:v>512</x:v>
      </x:c>
      <x:c r="N138" s="19"/>
      <x:c r="O138" s="19"/>
    </x:row>
    <x:row r="139" ht="35.04999923706055" hidden="0">
      <x:c r="A139" s="12" t="s">
        <x:v>524</x:v>
      </x:c>
      <x:c r="B139" s="13" t="s">
        <x:v>525</x:v>
      </x:c>
      <x:c r="C139" s="13" t="s">
        <x:v>50</x:v>
      </x:c>
      <x:c r="D139" s="13" t="s">
        <x:v>50</x:v>
      </x:c>
      <x:c r="E139" s="13" t="s">
        <x:v>44</x:v>
      </x:c>
      <x:c r="F139" s="13" t="s">
        <x:v>214</x:v>
      </x:c>
      <x:c r="G139" s="13" t="s">
        <x:v>466</x:v>
      </x:c>
      <x:c r="H139" s="13" t="s">
        <x:v>467</x:v>
      </x:c>
      <x:c r="I139" s="14" t="s">
        <x:v>33</x:v>
      </x:c>
      <x:c r="J139" s="13" t="s">
        <x:v>526</x:v>
      </x:c>
      <x:c r="K139" s="13" t="s">
        <x:v>469</x:v>
      </x:c>
      <x:c r="L139" s="13" t="s">
        <x:v>509</x:v>
      </x:c>
      <x:c r="M139" s="13"/>
      <x:c r="N139" s="15"/>
      <x:c r="O139" s="15" t="s">
        <x:v>527</x:v>
      </x:c>
    </x:row>
  </x:sheetData>
  <x:mergeCells>
    <x:mergeCell ref="A2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C6635"/>
  </x:sheetPr>
  <x:sheetViews>
    <x:sheetView showGridLines="1" workbookViewId="0"/>
  </x:sheetViews>
  <x:sheetFormatPr defaultColWidth="8.6796875" defaultRowHeight="15"/>
  <x:cols>
    <x:col min="1" max="1" width="8" hidden="0" customWidth="1"/>
    <x:col min="2" max="2" width="30" hidden="0" customWidth="1"/>
    <x:col min="3" max="3" width="26" hidden="0" customWidth="1"/>
    <x:col min="4" max="4" width="44" hidden="0" customWidth="1"/>
    <x:col min="5" max="7" width="12" hidden="0" customWidth="1"/>
    <x:col min="8" max="8" width="52" hidden="0" customWidth="1"/>
  </x:cols>
  <x:sheetData>
    <x:row r="1" ht="19.700000762939453" hidden="0">
      <x:c r="A1" s="1" t="s">
        <x:v>528</x:v>
      </x:c>
    </x:row>
    <x:row r="2" ht="30" hidden="0" customHeight="1">
      <x:c r="A2" s="10" t="s">
        <x:v>529</x:v>
      </x:c>
      <x:c r="B2" s="10"/>
      <x:c r="C2" s="10"/>
      <x:c r="D2" s="10"/>
      <x:c r="E2" s="10"/>
      <x:c r="F2" s="10"/>
      <x:c r="G2" s="10"/>
      <x:c r="H2" s="10"/>
    </x:row>
    <x:row r="4" ht="27.75" hidden="0" customHeight="1">
      <x:c r="A4" s="11" t="s">
        <x:v>530</x:v>
      </x:c>
      <x:c r="B4" s="11" t="s">
        <x:v>531</x:v>
      </x:c>
      <x:c r="C4" s="11" t="s">
        <x:v>532</x:v>
      </x:c>
      <x:c r="D4" s="11" t="s">
        <x:v>533</x:v>
      </x:c>
      <x:c r="E4" s="11" t="s">
        <x:v>534</x:v>
      </x:c>
      <x:c r="F4" s="11" t="s">
        <x:v>89</x:v>
      </x:c>
      <x:c r="G4" s="11" t="s">
        <x:v>535</x:v>
      </x:c>
      <x:c r="H4" s="11" t="s">
        <x:v>95</x:v>
      </x:c>
    </x:row>
    <x:row r="5" ht="46.25" hidden="0">
      <x:c r="A5" s="13" t="s">
        <x:v>536</x:v>
      </x:c>
      <x:c r="B5" s="13" t="s">
        <x:v>339</x:v>
      </x:c>
      <x:c r="C5" s="13" t="s">
        <x:v>537</x:v>
      </x:c>
      <x:c r="D5" s="15" t="s">
        <x:v>538</x:v>
      </x:c>
      <x:c r="E5" s="13" t="s">
        <x:v>539</x:v>
      </x:c>
      <x:c r="F5" s="14" t="s">
        <x:v>33</x:v>
      </x:c>
      <x:c r="G5" s="13" t="s">
        <x:v>540</x:v>
      </x:c>
      <x:c r="H5" s="15" t="s">
        <x:v>541</x:v>
      </x:c>
    </x:row>
    <x:row r="6" ht="23.850000381469727" hidden="0">
      <x:c r="A6" s="17" t="s">
        <x:v>542</x:v>
      </x:c>
      <x:c r="B6" s="17" t="s">
        <x:v>154</x:v>
      </x:c>
      <x:c r="C6" s="17" t="s">
        <x:v>543</x:v>
      </x:c>
      <x:c r="D6" s="19" t="s">
        <x:v>544</x:v>
      </x:c>
      <x:c r="E6" s="17" t="s">
        <x:v>545</x:v>
      </x:c>
      <x:c r="F6" s="20" t="s">
        <x:v>33</x:v>
      </x:c>
      <x:c r="G6" s="17" t="s">
        <x:v>540</x:v>
      </x:c>
      <x:c r="H6" s="19" t="s">
        <x:v>546</x:v>
      </x:c>
    </x:row>
    <x:row r="7" ht="35.04999923706055" hidden="0">
      <x:c r="A7" s="13" t="s">
        <x:v>547</x:v>
      </x:c>
      <x:c r="B7" s="13" t="s">
        <x:v>548</x:v>
      </x:c>
      <x:c r="C7" s="13" t="s">
        <x:v>549</x:v>
      </x:c>
      <x:c r="D7" s="15" t="s">
        <x:v>550</x:v>
      </x:c>
      <x:c r="E7" s="13" t="s">
        <x:v>539</x:v>
      </x:c>
      <x:c r="F7" s="22" t="s">
        <x:v>36</x:v>
      </x:c>
      <x:c r="G7" s="13" t="s">
        <x:v>551</x:v>
      </x:c>
      <x:c r="H7" s="15" t="s">
        <x:v>552</x:v>
      </x:c>
    </x:row>
    <x:row r="8" ht="23.850000381469727" hidden="0">
      <x:c r="A8" s="17" t="s">
        <x:v>553</x:v>
      </x:c>
      <x:c r="B8" s="17" t="s">
        <x:v>339</x:v>
      </x:c>
      <x:c r="C8" s="17" t="s">
        <x:v>554</x:v>
      </x:c>
      <x:c r="D8" s="19" t="s">
        <x:v>555</x:v>
      </x:c>
      <x:c r="E8" s="17" t="s">
        <x:v>539</x:v>
      </x:c>
      <x:c r="F8" s="23" t="s">
        <x:v>36</x:v>
      </x:c>
      <x:c r="G8" s="17" t="s">
        <x:v>551</x:v>
      </x:c>
      <x:c r="H8" s="19" t="s">
        <x:v>556</x:v>
      </x:c>
    </x:row>
    <x:row r="9" ht="15" hidden="0">
      <x:c r="A9" s="13" t="s">
        <x:v>557</x:v>
      </x:c>
      <x:c r="B9" s="13" t="s">
        <x:v>558</x:v>
      </x:c>
      <x:c r="C9" s="13" t="s">
        <x:v>559</x:v>
      </x:c>
      <x:c r="D9" s="15" t="s">
        <x:v>560</x:v>
      </x:c>
      <x:c r="E9" s="13" t="s">
        <x:v>539</x:v>
      </x:c>
      <x:c r="F9" s="22" t="s">
        <x:v>36</x:v>
      </x:c>
      <x:c r="G9" s="13" t="s">
        <x:v>551</x:v>
      </x:c>
      <x:c r="H9" s="15" t="s">
        <x:v>561</x:v>
      </x:c>
    </x:row>
    <x:row r="10" ht="23.850000381469727" hidden="0">
      <x:c r="A10" s="17" t="s">
        <x:v>562</x:v>
      </x:c>
      <x:c r="B10" s="17" t="s">
        <x:v>387</x:v>
      </x:c>
      <x:c r="C10" s="17" t="s">
        <x:v>563</x:v>
      </x:c>
      <x:c r="D10" s="19" t="s">
        <x:v>564</x:v>
      </x:c>
      <x:c r="E10" s="17" t="s">
        <x:v>539</x:v>
      </x:c>
      <x:c r="F10" s="23" t="s">
        <x:v>36</x:v>
      </x:c>
      <x:c r="G10" s="17" t="s">
        <x:v>551</x:v>
      </x:c>
      <x:c r="H10" s="19" t="s">
        <x:v>565</x:v>
      </x:c>
    </x:row>
    <x:row r="11" ht="23.850000381469727" hidden="0">
      <x:c r="A11" s="13" t="s">
        <x:v>566</x:v>
      </x:c>
      <x:c r="B11" s="13" t="s">
        <x:v>493</x:v>
      </x:c>
      <x:c r="C11" s="13" t="s">
        <x:v>567</x:v>
      </x:c>
      <x:c r="D11" s="15" t="s">
        <x:v>568</x:v>
      </x:c>
      <x:c r="E11" s="13" t="s">
        <x:v>539</x:v>
      </x:c>
      <x:c r="F11" s="22" t="s">
        <x:v>36</x:v>
      </x:c>
      <x:c r="G11" s="13" t="s">
        <x:v>551</x:v>
      </x:c>
      <x:c r="H11" s="15" t="s">
        <x:v>569</x:v>
      </x:c>
    </x:row>
    <x:row r="12" ht="23.850000381469727" hidden="0">
      <x:c r="A12" s="17" t="s">
        <x:v>570</x:v>
      </x:c>
      <x:c r="B12" s="17" t="s">
        <x:v>524</x:v>
      </x:c>
      <x:c r="C12" s="17" t="s">
        <x:v>571</x:v>
      </x:c>
      <x:c r="D12" s="19" t="s">
        <x:v>572</x:v>
      </x:c>
      <x:c r="E12" s="17" t="s">
        <x:v>539</x:v>
      </x:c>
      <x:c r="F12" s="23" t="s">
        <x:v>36</x:v>
      </x:c>
      <x:c r="G12" s="17" t="s">
        <x:v>551</x:v>
      </x:c>
      <x:c r="H12" s="19" t="s">
        <x:v>573</x:v>
      </x:c>
    </x:row>
    <x:row r="13" ht="23.850000381469727" hidden="0">
      <x:c r="A13" s="13" t="s">
        <x:v>574</x:v>
      </x:c>
      <x:c r="B13" s="13" t="s">
        <x:v>575</x:v>
      </x:c>
      <x:c r="C13" s="13" t="s">
        <x:v>576</x:v>
      </x:c>
      <x:c r="D13" s="15" t="s">
        <x:v>577</x:v>
      </x:c>
      <x:c r="E13" s="13" t="s">
        <x:v>539</x:v>
      </x:c>
      <x:c r="F13" s="22" t="s">
        <x:v>36</x:v>
      </x:c>
      <x:c r="G13" s="13" t="s">
        <x:v>551</x:v>
      </x:c>
      <x:c r="H13" s="15" t="s">
        <x:v>578</x:v>
      </x:c>
    </x:row>
    <x:row r="14" ht="46.25" hidden="0">
      <x:c r="A14" s="17" t="s">
        <x:v>579</x:v>
      </x:c>
      <x:c r="B14" s="17" t="s">
        <x:v>321</x:v>
      </x:c>
      <x:c r="C14" s="17" t="s">
        <x:v>580</x:v>
      </x:c>
      <x:c r="D14" s="19" t="s">
        <x:v>581</x:v>
      </x:c>
      <x:c r="E14" s="17" t="s">
        <x:v>580</x:v>
      </x:c>
      <x:c r="F14" s="17" t="s">
        <x:v>582</x:v>
      </x:c>
      <x:c r="G14" s="17" t="s">
        <x:v>540</x:v>
      </x:c>
      <x:c r="H14" s="19" t="s">
        <x:v>583</x:v>
      </x:c>
    </x:row>
  </x:sheetData>
  <x:mergeCells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061DE"/>
  </x:sheetPr>
  <x:sheetViews>
    <x:sheetView showGridLines="1" workbookViewId="0"/>
  </x:sheetViews>
  <x:sheetFormatPr defaultColWidth="8.6796875" defaultRowHeight="15"/>
  <x:cols>
    <x:col min="1" max="1" width="8" hidden="0" customWidth="1"/>
    <x:col min="2" max="2" width="30" hidden="0" customWidth="1"/>
    <x:col min="3" max="3" width="34" hidden="0" customWidth="1"/>
    <x:col min="4" max="4" width="14" hidden="0" customWidth="1"/>
    <x:col min="5" max="5" width="12" hidden="0" customWidth="1"/>
    <x:col min="6" max="6" width="26" hidden="0" customWidth="1"/>
    <x:col min="7" max="8" width="12" hidden="0" customWidth="1"/>
    <x:col min="9" max="9" width="46" hidden="0" customWidth="1"/>
  </x:cols>
  <x:sheetData>
    <x:row r="1" ht="19.700000762939453" hidden="0">
      <x:c r="A1" s="1" t="s">
        <x:v>584</x:v>
      </x:c>
    </x:row>
    <x:row r="2" ht="30" hidden="0" customHeight="1">
      <x:c r="A2" s="10" t="s">
        <x:v>585</x:v>
      </x:c>
      <x:c r="B2" s="10"/>
      <x:c r="C2" s="10"/>
      <x:c r="D2" s="10"/>
      <x:c r="E2" s="10"/>
      <x:c r="F2" s="10"/>
      <x:c r="G2" s="10"/>
      <x:c r="H2" s="10"/>
      <x:c r="I2" s="10"/>
    </x:row>
    <x:row r="4" ht="27.75" hidden="0" customHeight="1">
      <x:c r="A4" s="11" t="s">
        <x:v>530</x:v>
      </x:c>
      <x:c r="B4" s="11" t="s">
        <x:v>586</x:v>
      </x:c>
      <x:c r="C4" s="11" t="s">
        <x:v>587</x:v>
      </x:c>
      <x:c r="D4" s="11" t="s">
        <x:v>588</x:v>
      </x:c>
      <x:c r="E4" s="11" t="s">
        <x:v>589</x:v>
      </x:c>
      <x:c r="F4" s="11" t="s">
        <x:v>590</x:v>
      </x:c>
      <x:c r="G4" s="11" t="s">
        <x:v>89</x:v>
      </x:c>
      <x:c r="H4" s="11" t="s">
        <x:v>535</x:v>
      </x:c>
      <x:c r="I4" s="11" t="s">
        <x:v>95</x:v>
      </x:c>
    </x:row>
    <x:row r="5" ht="23.850000381469727" hidden="0">
      <x:c r="A5" s="13" t="s">
        <x:v>591</x:v>
      </x:c>
      <x:c r="B5" s="13" t="s">
        <x:v>580</x:v>
      </x:c>
      <x:c r="C5" s="15" t="s">
        <x:v>592</x:v>
      </x:c>
      <x:c r="D5" s="13" t="s">
        <x:v>593</x:v>
      </x:c>
      <x:c r="E5" s="13" t="s">
        <x:v>580</x:v>
      </x:c>
      <x:c r="F5" s="13" t="s">
        <x:v>594</x:v>
      </x:c>
      <x:c r="G5" s="21" t="s">
        <x:v>34</x:v>
      </x:c>
      <x:c r="H5" s="13" t="s">
        <x:v>540</x:v>
      </x:c>
      <x:c r="I5" s="15" t="s">
        <x:v>595</x:v>
      </x:c>
    </x:row>
    <x:row r="6" ht="23.850000381469727" hidden="0">
      <x:c r="A6" s="17" t="s">
        <x:v>596</x:v>
      </x:c>
      <x:c r="B6" s="17" t="s">
        <x:v>597</x:v>
      </x:c>
      <x:c r="C6" s="19" t="s">
        <x:v>598</x:v>
      </x:c>
      <x:c r="D6" s="17" t="s">
        <x:v>599</x:v>
      </x:c>
      <x:c r="E6" s="17" t="s">
        <x:v>600</x:v>
      </x:c>
      <x:c r="F6" s="17" t="s">
        <x:v>601</x:v>
      </x:c>
      <x:c r="G6" s="23" t="s">
        <x:v>36</x:v>
      </x:c>
      <x:c r="H6" s="17" t="s">
        <x:v>551</x:v>
      </x:c>
      <x:c r="I6" s="19" t="s">
        <x:v>602</x:v>
      </x:c>
    </x:row>
    <x:row r="7" ht="23.850000381469727" hidden="0">
      <x:c r="A7" s="13" t="s">
        <x:v>603</x:v>
      </x:c>
      <x:c r="B7" s="13" t="s">
        <x:v>604</x:v>
      </x:c>
      <x:c r="C7" s="15" t="s">
        <x:v>605</x:v>
      </x:c>
      <x:c r="D7" s="13" t="s">
        <x:v>599</x:v>
      </x:c>
      <x:c r="E7" s="13" t="s">
        <x:v>606</x:v>
      </x:c>
      <x:c r="F7" s="13" t="s">
        <x:v>601</x:v>
      </x:c>
      <x:c r="G7" s="22" t="s">
        <x:v>36</x:v>
      </x:c>
      <x:c r="H7" s="13" t="s">
        <x:v>551</x:v>
      </x:c>
      <x:c r="I7" s="15" t="s">
        <x:v>607</x:v>
      </x:c>
    </x:row>
    <x:row r="8" ht="35.04999923706055" hidden="0">
      <x:c r="A8" s="17" t="s">
        <x:v>608</x:v>
      </x:c>
      <x:c r="B8" s="17" t="s">
        <x:v>609</x:v>
      </x:c>
      <x:c r="C8" s="19" t="s">
        <x:v>610</x:v>
      </x:c>
      <x:c r="D8" s="17" t="s">
        <x:v>611</x:v>
      </x:c>
      <x:c r="E8" s="17" t="s">
        <x:v>606</x:v>
      </x:c>
      <x:c r="F8" s="17" t="s">
        <x:v>601</x:v>
      </x:c>
      <x:c r="G8" s="23" t="s">
        <x:v>36</x:v>
      </x:c>
      <x:c r="H8" s="17" t="s">
        <x:v>551</x:v>
      </x:c>
      <x:c r="I8" s="19" t="s">
        <x:v>612</x:v>
      </x:c>
    </x:row>
    <x:row r="9" ht="23.850000381469727" hidden="0">
      <x:c r="A9" s="13" t="s">
        <x:v>613</x:v>
      </x:c>
      <x:c r="B9" s="13" t="s">
        <x:v>614</x:v>
      </x:c>
      <x:c r="C9" s="15" t="s">
        <x:v>615</x:v>
      </x:c>
      <x:c r="D9" s="13" t="s">
        <x:v>611</x:v>
      </x:c>
      <x:c r="E9" s="13" t="s">
        <x:v>606</x:v>
      </x:c>
      <x:c r="F9" s="13" t="s">
        <x:v>616</x:v>
      </x:c>
      <x:c r="G9" s="22" t="s">
        <x:v>36</x:v>
      </x:c>
      <x:c r="H9" s="13" t="s">
        <x:v>551</x:v>
      </x:c>
      <x:c r="I9" s="15" t="s">
        <x:v>617</x:v>
      </x:c>
    </x:row>
    <x:row r="10" ht="35.04999923706055" hidden="0">
      <x:c r="A10" s="17" t="s">
        <x:v>618</x:v>
      </x:c>
      <x:c r="B10" s="17" t="s">
        <x:v>619</x:v>
      </x:c>
      <x:c r="C10" s="19" t="s">
        <x:v>620</x:v>
      </x:c>
      <x:c r="D10" s="17" t="s">
        <x:v>593</x:v>
      </x:c>
      <x:c r="E10" s="17" t="s">
        <x:v>621</x:v>
      </x:c>
      <x:c r="F10" s="17" t="s">
        <x:v>601</x:v>
      </x:c>
      <x:c r="G10" s="23" t="s">
        <x:v>36</x:v>
      </x:c>
      <x:c r="H10" s="17" t="s">
        <x:v>551</x:v>
      </x:c>
      <x:c r="I10" s="19" t="s">
        <x:v>622</x:v>
      </x:c>
    </x:row>
    <x:row r="11" ht="35.04999923706055" hidden="0">
      <x:c r="A11" s="13" t="s">
        <x:v>623</x:v>
      </x:c>
      <x:c r="B11" s="13" t="s">
        <x:v>624</x:v>
      </x:c>
      <x:c r="C11" s="15" t="s">
        <x:v>625</x:v>
      </x:c>
      <x:c r="D11" s="13" t="s">
        <x:v>593</x:v>
      </x:c>
      <x:c r="E11" s="13" t="s">
        <x:v>606</x:v>
      </x:c>
      <x:c r="F11" s="13" t="s">
        <x:v>601</x:v>
      </x:c>
      <x:c r="G11" s="22" t="s">
        <x:v>36</x:v>
      </x:c>
      <x:c r="H11" s="13" t="s">
        <x:v>551</x:v>
      </x:c>
      <x:c r="I11" s="15" t="s">
        <x:v>626</x:v>
      </x:c>
    </x:row>
    <x:row r="12" ht="23.850000381469727" hidden="0">
      <x:c r="A12" s="17" t="s">
        <x:v>627</x:v>
      </x:c>
      <x:c r="B12" s="17" t="s">
        <x:v>628</x:v>
      </x:c>
      <x:c r="C12" s="19" t="s">
        <x:v>629</x:v>
      </x:c>
      <x:c r="D12" s="17" t="s">
        <x:v>593</x:v>
      </x:c>
      <x:c r="E12" s="17" t="s">
        <x:v>606</x:v>
      </x:c>
      <x:c r="F12" s="17" t="s">
        <x:v>601</x:v>
      </x:c>
      <x:c r="G12" s="23" t="s">
        <x:v>36</x:v>
      </x:c>
      <x:c r="H12" s="17" t="s">
        <x:v>551</x:v>
      </x:c>
      <x:c r="I12" s="19" t="s">
        <x:v>630</x:v>
      </x:c>
    </x:row>
    <x:row r="13" ht="23.850000381469727" hidden="0">
      <x:c r="A13" s="13" t="s">
        <x:v>631</x:v>
      </x:c>
      <x:c r="B13" s="13" t="s">
        <x:v>632</x:v>
      </x:c>
      <x:c r="C13" s="15" t="s">
        <x:v>633</x:v>
      </x:c>
      <x:c r="D13" s="13" t="s">
        <x:v>593</x:v>
      </x:c>
      <x:c r="E13" s="13" t="s">
        <x:v>600</x:v>
      </x:c>
      <x:c r="F13" s="13" t="s">
        <x:v>601</x:v>
      </x:c>
      <x:c r="G13" s="22" t="s">
        <x:v>36</x:v>
      </x:c>
      <x:c r="H13" s="13" t="s">
        <x:v>551</x:v>
      </x:c>
      <x:c r="I13" s="15" t="s">
        <x:v>634</x:v>
      </x:c>
    </x:row>
    <x:row r="14" ht="23.850000381469727" hidden="0">
      <x:c r="A14" s="17" t="s">
        <x:v>635</x:v>
      </x:c>
      <x:c r="B14" s="17" t="s">
        <x:v>636</x:v>
      </x:c>
      <x:c r="C14" s="19" t="s">
        <x:v>637</x:v>
      </x:c>
      <x:c r="D14" s="17" t="s">
        <x:v>593</x:v>
      </x:c>
      <x:c r="E14" s="17" t="s">
        <x:v>600</x:v>
      </x:c>
      <x:c r="F14" s="17" t="s">
        <x:v>601</x:v>
      </x:c>
      <x:c r="G14" s="23" t="s">
        <x:v>36</x:v>
      </x:c>
      <x:c r="H14" s="17" t="s">
        <x:v>551</x:v>
      </x:c>
      <x:c r="I14" s="19" t="s">
        <x:v>638</x:v>
      </x:c>
    </x:row>
    <x:row r="15" ht="23.850000381469727" hidden="0">
      <x:c r="A15" s="13" t="s">
        <x:v>639</x:v>
      </x:c>
      <x:c r="B15" s="13" t="s">
        <x:v>640</x:v>
      </x:c>
      <x:c r="C15" s="15" t="s">
        <x:v>641</x:v>
      </x:c>
      <x:c r="D15" s="13" t="s">
        <x:v>593</x:v>
      </x:c>
      <x:c r="E15" s="13" t="s">
        <x:v>600</x:v>
      </x:c>
      <x:c r="F15" s="13" t="s">
        <x:v>601</x:v>
      </x:c>
      <x:c r="G15" s="22" t="s">
        <x:v>36</x:v>
      </x:c>
      <x:c r="H15" s="13" t="s">
        <x:v>551</x:v>
      </x:c>
      <x:c r="I15" s="15"/>
    </x:row>
    <x:row r="16" ht="35.04999923706055" hidden="0">
      <x:c r="A16" s="17" t="s">
        <x:v>642</x:v>
      </x:c>
      <x:c r="B16" s="17" t="s">
        <x:v>643</x:v>
      </x:c>
      <x:c r="C16" s="19" t="s">
        <x:v>644</x:v>
      </x:c>
      <x:c r="D16" s="17" t="s">
        <x:v>593</x:v>
      </x:c>
      <x:c r="E16" s="17" t="s">
        <x:v>606</x:v>
      </x:c>
      <x:c r="F16" s="17" t="s">
        <x:v>601</x:v>
      </x:c>
      <x:c r="G16" s="23" t="s">
        <x:v>36</x:v>
      </x:c>
      <x:c r="H16" s="17" t="s">
        <x:v>551</x:v>
      </x:c>
      <x:c r="I16" s="19" t="s">
        <x:v>645</x:v>
      </x:c>
    </x:row>
    <x:row r="17" ht="23.850000381469727" hidden="0">
      <x:c r="A17" s="13" t="s">
        <x:v>646</x:v>
      </x:c>
      <x:c r="B17" s="13" t="s">
        <x:v>647</x:v>
      </x:c>
      <x:c r="C17" s="15" t="s">
        <x:v>648</x:v>
      </x:c>
      <x:c r="D17" s="13" t="s">
        <x:v>593</x:v>
      </x:c>
      <x:c r="E17" s="13" t="s">
        <x:v>600</x:v>
      </x:c>
      <x:c r="F17" s="13" t="s">
        <x:v>649</x:v>
      </x:c>
      <x:c r="G17" s="22" t="s">
        <x:v>36</x:v>
      </x:c>
      <x:c r="H17" s="13" t="s">
        <x:v>551</x:v>
      </x:c>
      <x:c r="I17" s="15" t="s">
        <x:v>650</x:v>
      </x:c>
    </x:row>
    <x:row r="18" ht="15" hidden="0">
      <x:c r="A18" s="17" t="s">
        <x:v>651</x:v>
      </x:c>
      <x:c r="B18" s="17" t="s">
        <x:v>652</x:v>
      </x:c>
      <x:c r="C18" s="19" t="s">
        <x:v>653</x:v>
      </x:c>
      <x:c r="D18" s="17" t="s">
        <x:v>593</x:v>
      </x:c>
      <x:c r="E18" s="17" t="s">
        <x:v>600</x:v>
      </x:c>
      <x:c r="F18" s="17" t="s">
        <x:v>601</x:v>
      </x:c>
      <x:c r="G18" s="23" t="s">
        <x:v>36</x:v>
      </x:c>
      <x:c r="H18" s="17" t="s">
        <x:v>551</x:v>
      </x:c>
      <x:c r="I18" s="19" t="s">
        <x:v>654</x:v>
      </x:c>
    </x:row>
    <x:row r="19" ht="23.850000381469727" hidden="0">
      <x:c r="A19" s="13" t="s">
        <x:v>655</x:v>
      </x:c>
      <x:c r="B19" s="13" t="s">
        <x:v>656</x:v>
      </x:c>
      <x:c r="C19" s="15" t="s">
        <x:v>657</x:v>
      </x:c>
      <x:c r="D19" s="13" t="s">
        <x:v>593</x:v>
      </x:c>
      <x:c r="E19" s="13" t="s">
        <x:v>606</x:v>
      </x:c>
      <x:c r="F19" s="13" t="s">
        <x:v>616</x:v>
      </x:c>
      <x:c r="G19" s="22" t="s">
        <x:v>36</x:v>
      </x:c>
      <x:c r="H19" s="13" t="s">
        <x:v>551</x:v>
      </x:c>
      <x:c r="I19" s="15" t="s">
        <x:v>658</x:v>
      </x:c>
    </x:row>
    <x:row r="20" ht="23.850000381469727" hidden="0">
      <x:c r="A20" s="17" t="s">
        <x:v>659</x:v>
      </x:c>
      <x:c r="B20" s="17" t="s">
        <x:v>660</x:v>
      </x:c>
      <x:c r="C20" s="19" t="s">
        <x:v>661</x:v>
      </x:c>
      <x:c r="D20" s="17" t="s">
        <x:v>662</x:v>
      </x:c>
      <x:c r="E20" s="17" t="s">
        <x:v>621</x:v>
      </x:c>
      <x:c r="F20" s="17" t="s">
        <x:v>649</x:v>
      </x:c>
      <x:c r="G20" s="23" t="s">
        <x:v>36</x:v>
      </x:c>
      <x:c r="H20" s="17" t="s">
        <x:v>551</x:v>
      </x:c>
      <x:c r="I20" s="19" t="s">
        <x:v>663</x:v>
      </x:c>
    </x:row>
    <x:row r="21" ht="23.850000381469727" hidden="0">
      <x:c r="A21" s="13" t="s">
        <x:v>664</x:v>
      </x:c>
      <x:c r="B21" s="13" t="s">
        <x:v>665</x:v>
      </x:c>
      <x:c r="C21" s="15" t="s">
        <x:v>666</x:v>
      </x:c>
      <x:c r="D21" s="13" t="s">
        <x:v>593</x:v>
      </x:c>
      <x:c r="E21" s="13" t="s">
        <x:v>600</x:v>
      </x:c>
      <x:c r="F21" s="13" t="s">
        <x:v>649</x:v>
      </x:c>
      <x:c r="G21" s="22" t="s">
        <x:v>36</x:v>
      </x:c>
      <x:c r="H21" s="13" t="s">
        <x:v>551</x:v>
      </x:c>
      <x:c r="I21" s="15" t="s">
        <x:v>667</x:v>
      </x:c>
    </x:row>
    <x:row r="22" ht="23.850000381469727" hidden="0">
      <x:c r="A22" s="17" t="s">
        <x:v>668</x:v>
      </x:c>
      <x:c r="B22" s="17" t="s">
        <x:v>669</x:v>
      </x:c>
      <x:c r="C22" s="19" t="s">
        <x:v>670</x:v>
      </x:c>
      <x:c r="D22" s="17" t="s">
        <x:v>662</x:v>
      </x:c>
      <x:c r="E22" s="17" t="s">
        <x:v>671</x:v>
      </x:c>
      <x:c r="F22" s="17" t="s">
        <x:v>616</x:v>
      </x:c>
      <x:c r="G22" s="20" t="s">
        <x:v>672</x:v>
      </x:c>
      <x:c r="H22" s="17" t="s">
        <x:v>540</x:v>
      </x:c>
      <x:c r="I22" s="19" t="s">
        <x:v>673</x:v>
      </x:c>
    </x:row>
  </x:sheetData>
  <x:mergeCells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7F43"/>
  </x:sheetPr>
  <x:sheetViews>
    <x:sheetView showGridLines="1" workbookViewId="0"/>
  </x:sheetViews>
  <x:sheetFormatPr defaultColWidth="8.6796875" defaultRowHeight="15"/>
  <x:cols>
    <x:col min="1" max="1" width="8" hidden="0" customWidth="1"/>
    <x:col min="2" max="2" width="28" hidden="0" customWidth="1"/>
    <x:col min="3" max="3" width="26" hidden="0" customWidth="1"/>
    <x:col min="4" max="4" width="40" hidden="0" customWidth="1"/>
    <x:col min="5" max="5" width="14" hidden="0" customWidth="1"/>
    <x:col min="6" max="6" width="16" hidden="0" customWidth="1"/>
    <x:col min="7" max="8" width="12" hidden="0" customWidth="1"/>
    <x:col min="9" max="9" width="46" hidden="0" customWidth="1"/>
  </x:cols>
  <x:sheetData>
    <x:row r="1" ht="19.700000762939453" hidden="0">
      <x:c r="A1" s="1" t="s">
        <x:v>674</x:v>
      </x:c>
    </x:row>
    <x:row r="2" ht="30" hidden="0" customHeight="1">
      <x:c r="A2" s="10" t="s">
        <x:v>675</x:v>
      </x:c>
      <x:c r="B2" s="10"/>
      <x:c r="C2" s="10"/>
      <x:c r="D2" s="10"/>
      <x:c r="E2" s="10"/>
      <x:c r="F2" s="10"/>
      <x:c r="G2" s="10"/>
      <x:c r="H2" s="10"/>
      <x:c r="I2" s="10"/>
    </x:row>
    <x:row r="4" ht="27.75" hidden="0" customHeight="1">
      <x:c r="A4" s="11" t="s">
        <x:v>530</x:v>
      </x:c>
      <x:c r="B4" s="11" t="s">
        <x:v>532</x:v>
      </x:c>
      <x:c r="C4" s="11" t="s">
        <x:v>676</x:v>
      </x:c>
      <x:c r="D4" s="11" t="s">
        <x:v>677</x:v>
      </x:c>
      <x:c r="E4" s="11" t="s">
        <x:v>678</x:v>
      </x:c>
      <x:c r="F4" s="11" t="s">
        <x:v>679</x:v>
      </x:c>
      <x:c r="G4" s="11" t="s">
        <x:v>89</x:v>
      </x:c>
      <x:c r="H4" s="11" t="s">
        <x:v>535</x:v>
      </x:c>
      <x:c r="I4" s="11" t="s">
        <x:v>95</x:v>
      </x:c>
    </x:row>
    <x:row r="5" ht="23.850000381469727" hidden="0">
      <x:c r="A5" s="13" t="s">
        <x:v>680</x:v>
      </x:c>
      <x:c r="B5" s="13" t="s">
        <x:v>681</x:v>
      </x:c>
      <x:c r="C5" s="13" t="s">
        <x:v>682</x:v>
      </x:c>
      <x:c r="D5" s="15" t="s">
        <x:v>683</x:v>
      </x:c>
      <x:c r="E5" s="13" t="s">
        <x:v>684</x:v>
      </x:c>
      <x:c r="F5" s="13" t="s">
        <x:v>685</x:v>
      </x:c>
      <x:c r="G5" s="14" t="s">
        <x:v>672</x:v>
      </x:c>
      <x:c r="H5" s="13" t="s">
        <x:v>540</x:v>
      </x:c>
      <x:c r="I5" s="15" t="s">
        <x:v>686</x:v>
      </x:c>
    </x:row>
    <x:row r="6" ht="15" hidden="0">
      <x:c r="A6" s="17" t="s">
        <x:v>687</x:v>
      </x:c>
      <x:c r="B6" s="17" t="s">
        <x:v>688</x:v>
      </x:c>
      <x:c r="C6" s="17" t="s">
        <x:v>689</x:v>
      </x:c>
      <x:c r="D6" s="19" t="s">
        <x:v>690</x:v>
      </x:c>
      <x:c r="E6" s="17" t="s">
        <x:v>684</x:v>
      </x:c>
      <x:c r="F6" s="17" t="s">
        <x:v>685</x:v>
      </x:c>
      <x:c r="G6" s="20" t="s">
        <x:v>672</x:v>
      </x:c>
      <x:c r="H6" s="17" t="s">
        <x:v>540</x:v>
      </x:c>
      <x:c r="I6" s="19" t="s">
        <x:v>691</x:v>
      </x:c>
    </x:row>
    <x:row r="7" ht="35.04999923706055" hidden="0">
      <x:c r="A7" s="13" t="s">
        <x:v>692</x:v>
      </x:c>
      <x:c r="B7" s="13" t="s">
        <x:v>693</x:v>
      </x:c>
      <x:c r="C7" s="13" t="s">
        <x:v>694</x:v>
      </x:c>
      <x:c r="D7" s="15" t="s">
        <x:v>695</x:v>
      </x:c>
      <x:c r="E7" s="13" t="s">
        <x:v>696</x:v>
      </x:c>
      <x:c r="F7" s="13" t="s">
        <x:v>580</x:v>
      </x:c>
      <x:c r="G7" s="22" t="s">
        <x:v>36</x:v>
      </x:c>
      <x:c r="H7" s="13" t="s">
        <x:v>551</x:v>
      </x:c>
      <x:c r="I7" s="15" t="s">
        <x:v>697</x:v>
      </x:c>
    </x:row>
    <x:row r="8" ht="23.850000381469727" hidden="0">
      <x:c r="A8" s="17" t="s">
        <x:v>698</x:v>
      </x:c>
      <x:c r="B8" s="17" t="s">
        <x:v>699</x:v>
      </x:c>
      <x:c r="C8" s="17" t="s">
        <x:v>700</x:v>
      </x:c>
      <x:c r="D8" s="19" t="s">
        <x:v>701</x:v>
      </x:c>
      <x:c r="E8" s="17" t="s">
        <x:v>696</x:v>
      </x:c>
      <x:c r="F8" s="17" t="s">
        <x:v>580</x:v>
      </x:c>
      <x:c r="G8" s="23" t="s">
        <x:v>36</x:v>
      </x:c>
      <x:c r="H8" s="17" t="s">
        <x:v>551</x:v>
      </x:c>
      <x:c r="I8" s="19" t="s">
        <x:v>702</x:v>
      </x:c>
    </x:row>
    <x:row r="9" ht="15" hidden="0">
      <x:c r="A9" s="13" t="s">
        <x:v>703</x:v>
      </x:c>
      <x:c r="B9" s="13" t="s">
        <x:v>704</x:v>
      </x:c>
      <x:c r="C9" s="13" t="s">
        <x:v>705</x:v>
      </x:c>
      <x:c r="D9" s="15" t="s">
        <x:v>706</x:v>
      </x:c>
      <x:c r="E9" s="13" t="s">
        <x:v>696</x:v>
      </x:c>
      <x:c r="F9" s="13" t="s">
        <x:v>580</x:v>
      </x:c>
      <x:c r="G9" s="22" t="s">
        <x:v>36</x:v>
      </x:c>
      <x:c r="H9" s="13" t="s">
        <x:v>551</x:v>
      </x:c>
      <x:c r="I9" s="15" t="s">
        <x:v>707</x:v>
      </x:c>
    </x:row>
    <x:row r="10" ht="15" hidden="0">
      <x:c r="A10" s="17" t="s">
        <x:v>708</x:v>
      </x:c>
      <x:c r="B10" s="17" t="s">
        <x:v>597</x:v>
      </x:c>
      <x:c r="C10" s="17" t="s">
        <x:v>599</x:v>
      </x:c>
      <x:c r="D10" s="19" t="s">
        <x:v>709</x:v>
      </x:c>
      <x:c r="E10" s="17" t="s">
        <x:v>696</x:v>
      </x:c>
      <x:c r="F10" s="17" t="s">
        <x:v>580</x:v>
      </x:c>
      <x:c r="G10" s="23" t="s">
        <x:v>36</x:v>
      </x:c>
      <x:c r="H10" s="17" t="s">
        <x:v>551</x:v>
      </x:c>
      <x:c r="I10" s="19" t="s">
        <x:v>710</x:v>
      </x:c>
    </x:row>
    <x:row r="11" ht="15" hidden="0">
      <x:c r="A11" s="13" t="s">
        <x:v>711</x:v>
      </x:c>
      <x:c r="B11" s="13" t="s">
        <x:v>604</x:v>
      </x:c>
      <x:c r="C11" s="13" t="s">
        <x:v>599</x:v>
      </x:c>
      <x:c r="D11" s="15" t="s">
        <x:v>712</x:v>
      </x:c>
      <x:c r="E11" s="13" t="s">
        <x:v>696</x:v>
      </x:c>
      <x:c r="F11" s="13" t="s">
        <x:v>580</x:v>
      </x:c>
      <x:c r="G11" s="22" t="s">
        <x:v>36</x:v>
      </x:c>
      <x:c r="H11" s="13" t="s">
        <x:v>551</x:v>
      </x:c>
      <x:c r="I11" s="15" t="s">
        <x:v>713</x:v>
      </x:c>
    </x:row>
    <x:row r="12" ht="15" hidden="0">
      <x:c r="A12" s="17" t="s">
        <x:v>714</x:v>
      </x:c>
      <x:c r="B12" s="17" t="s">
        <x:v>609</x:v>
      </x:c>
      <x:c r="C12" s="17" t="s">
        <x:v>611</x:v>
      </x:c>
      <x:c r="D12" s="19" t="s">
        <x:v>715</x:v>
      </x:c>
      <x:c r="E12" s="17" t="s">
        <x:v>696</x:v>
      </x:c>
      <x:c r="F12" s="17" t="s">
        <x:v>580</x:v>
      </x:c>
      <x:c r="G12" s="23" t="s">
        <x:v>36</x:v>
      </x:c>
      <x:c r="H12" s="17" t="s">
        <x:v>551</x:v>
      </x:c>
      <x:c r="I12" s="19" t="s">
        <x:v>716</x:v>
      </x:c>
    </x:row>
    <x:row r="13" ht="23.850000381469727" hidden="0">
      <x:c r="A13" s="13" t="s">
        <x:v>717</x:v>
      </x:c>
      <x:c r="B13" s="13" t="s">
        <x:v>609</x:v>
      </x:c>
      <x:c r="C13" s="13" t="s">
        <x:v>611</x:v>
      </x:c>
      <x:c r="D13" s="15" t="s">
        <x:v>718</x:v>
      </x:c>
      <x:c r="E13" s="13" t="s">
        <x:v>696</x:v>
      </x:c>
      <x:c r="F13" s="13" t="s">
        <x:v>580</x:v>
      </x:c>
      <x:c r="G13" s="22" t="s">
        <x:v>36</x:v>
      </x:c>
      <x:c r="H13" s="13" t="s">
        <x:v>551</x:v>
      </x:c>
      <x:c r="I13" s="15" t="s">
        <x:v>719</x:v>
      </x:c>
    </x:row>
    <x:row r="14" ht="23.850000381469727" hidden="0">
      <x:c r="A14" s="17" t="s">
        <x:v>720</x:v>
      </x:c>
      <x:c r="B14" s="17" t="s">
        <x:v>721</x:v>
      </x:c>
      <x:c r="C14" s="17" t="s">
        <x:v>593</x:v>
      </x:c>
      <x:c r="D14" s="19" t="s">
        <x:v>722</x:v>
      </x:c>
      <x:c r="E14" s="17" t="s">
        <x:v>696</x:v>
      </x:c>
      <x:c r="F14" s="17" t="s">
        <x:v>580</x:v>
      </x:c>
      <x:c r="G14" s="23" t="s">
        <x:v>36</x:v>
      </x:c>
      <x:c r="H14" s="17" t="s">
        <x:v>551</x:v>
      </x:c>
      <x:c r="I14" s="19" t="s">
        <x:v>723</x:v>
      </x:c>
    </x:row>
    <x:row r="15" ht="15" hidden="0">
      <x:c r="A15" s="13" t="s">
        <x:v>724</x:v>
      </x:c>
      <x:c r="B15" s="13" t="s">
        <x:v>624</x:v>
      </x:c>
      <x:c r="C15" s="13" t="s">
        <x:v>725</x:v>
      </x:c>
      <x:c r="D15" s="15" t="s">
        <x:v>726</x:v>
      </x:c>
      <x:c r="E15" s="13" t="s">
        <x:v>696</x:v>
      </x:c>
      <x:c r="F15" s="13" t="s">
        <x:v>580</x:v>
      </x:c>
      <x:c r="G15" s="22" t="s">
        <x:v>36</x:v>
      </x:c>
      <x:c r="H15" s="13" t="s">
        <x:v>551</x:v>
      </x:c>
      <x:c r="I15" s="15"/>
    </x:row>
    <x:row r="16" ht="15" hidden="0">
      <x:c r="A16" s="17" t="s">
        <x:v>727</x:v>
      </x:c>
      <x:c r="B16" s="17" t="s">
        <x:v>628</x:v>
      </x:c>
      <x:c r="C16" s="17" t="s">
        <x:v>728</x:v>
      </x:c>
      <x:c r="D16" s="19" t="s">
        <x:v>729</x:v>
      </x:c>
      <x:c r="E16" s="17" t="s">
        <x:v>696</x:v>
      </x:c>
      <x:c r="F16" s="17" t="s">
        <x:v>580</x:v>
      </x:c>
      <x:c r="G16" s="23" t="s">
        <x:v>36</x:v>
      </x:c>
      <x:c r="H16" s="17" t="s">
        <x:v>551</x:v>
      </x:c>
      <x:c r="I16" s="19"/>
    </x:row>
    <x:row r="17" ht="15" hidden="0">
      <x:c r="A17" s="13" t="s">
        <x:v>730</x:v>
      </x:c>
      <x:c r="B17" s="13" t="s">
        <x:v>632</x:v>
      </x:c>
      <x:c r="C17" s="13" t="s">
        <x:v>725</x:v>
      </x:c>
      <x:c r="D17" s="15" t="s">
        <x:v>731</x:v>
      </x:c>
      <x:c r="E17" s="13" t="s">
        <x:v>696</x:v>
      </x:c>
      <x:c r="F17" s="13" t="s">
        <x:v>580</x:v>
      </x:c>
      <x:c r="G17" s="22" t="s">
        <x:v>36</x:v>
      </x:c>
      <x:c r="H17" s="13" t="s">
        <x:v>551</x:v>
      </x:c>
      <x:c r="I17" s="15" t="s">
        <x:v>732</x:v>
      </x:c>
    </x:row>
    <x:row r="18" ht="15" hidden="0">
      <x:c r="A18" s="17" t="s">
        <x:v>733</x:v>
      </x:c>
      <x:c r="B18" s="17" t="s">
        <x:v>640</x:v>
      </x:c>
      <x:c r="C18" s="17" t="s">
        <x:v>593</x:v>
      </x:c>
      <x:c r="D18" s="19" t="s">
        <x:v>734</x:v>
      </x:c>
      <x:c r="E18" s="17" t="s">
        <x:v>696</x:v>
      </x:c>
      <x:c r="F18" s="17" t="s">
        <x:v>580</x:v>
      </x:c>
      <x:c r="G18" s="23" t="s">
        <x:v>36</x:v>
      </x:c>
      <x:c r="H18" s="17" t="s">
        <x:v>551</x:v>
      </x:c>
      <x:c r="I18" s="19" t="s">
        <x:v>735</x:v>
      </x:c>
    </x:row>
    <x:row r="19" ht="15" hidden="0">
      <x:c r="A19" s="13" t="s">
        <x:v>736</x:v>
      </x:c>
      <x:c r="B19" s="13" t="s">
        <x:v>737</x:v>
      </x:c>
      <x:c r="C19" s="13" t="s">
        <x:v>725</x:v>
      </x:c>
      <x:c r="D19" s="15" t="s">
        <x:v>738</x:v>
      </x:c>
      <x:c r="E19" s="13" t="s">
        <x:v>696</x:v>
      </x:c>
      <x:c r="F19" s="13" t="s">
        <x:v>580</x:v>
      </x:c>
      <x:c r="G19" s="22" t="s">
        <x:v>36</x:v>
      </x:c>
      <x:c r="H19" s="13" t="s">
        <x:v>551</x:v>
      </x:c>
      <x:c r="I19" s="15" t="s">
        <x:v>739</x:v>
      </x:c>
    </x:row>
    <x:row r="20" ht="23.850000381469727" hidden="0">
      <x:c r="A20" s="17" t="s">
        <x:v>740</x:v>
      </x:c>
      <x:c r="B20" s="17" t="s">
        <x:v>741</x:v>
      </x:c>
      <x:c r="C20" s="17" t="s">
        <x:v>725</x:v>
      </x:c>
      <x:c r="D20" s="19" t="s">
        <x:v>742</x:v>
      </x:c>
      <x:c r="E20" s="17" t="s">
        <x:v>696</x:v>
      </x:c>
      <x:c r="F20" s="17" t="s">
        <x:v>580</x:v>
      </x:c>
      <x:c r="G20" s="23" t="s">
        <x:v>36</x:v>
      </x:c>
      <x:c r="H20" s="17" t="s">
        <x:v>551</x:v>
      </x:c>
      <x:c r="I20" s="19" t="s">
        <x:v>743</x:v>
      </x:c>
    </x:row>
    <x:row r="21" ht="23.850000381469727" hidden="0">
      <x:c r="A21" s="13" t="s">
        <x:v>744</x:v>
      </x:c>
      <x:c r="B21" s="13" t="s">
        <x:v>745</x:v>
      </x:c>
      <x:c r="C21" s="13" t="s">
        <x:v>746</x:v>
      </x:c>
      <x:c r="D21" s="15" t="s">
        <x:v>217</x:v>
      </x:c>
      <x:c r="E21" s="13" t="s">
        <x:v>747</x:v>
      </x:c>
      <x:c r="F21" s="13" t="s">
        <x:v>580</x:v>
      </x:c>
      <x:c r="G21" s="22" t="s">
        <x:v>36</x:v>
      </x:c>
      <x:c r="H21" s="13" t="s">
        <x:v>551</x:v>
      </x:c>
      <x:c r="I21" s="15" t="s">
        <x:v>748</x:v>
      </x:c>
    </x:row>
    <x:row r="22" ht="15" hidden="0">
      <x:c r="A22" s="17" t="s">
        <x:v>749</x:v>
      </x:c>
      <x:c r="B22" s="17" t="s">
        <x:v>750</x:v>
      </x:c>
      <x:c r="C22" s="17" t="s">
        <x:v>751</x:v>
      </x:c>
      <x:c r="D22" s="19" t="s">
        <x:v>752</x:v>
      </x:c>
      <x:c r="E22" s="17" t="s">
        <x:v>696</x:v>
      </x:c>
      <x:c r="F22" s="17" t="s">
        <x:v>580</x:v>
      </x:c>
      <x:c r="G22" s="23" t="s">
        <x:v>36</x:v>
      </x:c>
      <x:c r="H22" s="17" t="s">
        <x:v>551</x:v>
      </x:c>
      <x:c r="I22" s="19" t="s">
        <x:v>753</x:v>
      </x:c>
    </x:row>
  </x:sheetData>
  <x:mergeCells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00000"/>
  </x:sheetPr>
  <x:sheetViews>
    <x:sheetView showGridLines="1" workbookViewId="0"/>
  </x:sheetViews>
  <x:sheetFormatPr defaultColWidth="8.6796875" defaultRowHeight="15"/>
  <x:cols>
    <x:col min="1" max="1" width="8" hidden="0" customWidth="1"/>
    <x:col min="2" max="2" width="26" hidden="0" customWidth="1"/>
    <x:col min="3" max="3" width="44" hidden="0" customWidth="1"/>
    <x:col min="4" max="4" width="30" hidden="0" customWidth="1"/>
    <x:col min="5" max="5" width="12" hidden="0" customWidth="1"/>
    <x:col min="6" max="6" width="14" hidden="0" customWidth="1"/>
    <x:col min="7" max="7" width="10" hidden="0" customWidth="1"/>
    <x:col min="8" max="8" width="12" hidden="0" customWidth="1"/>
    <x:col min="9" max="9" width="40" hidden="0" customWidth="1"/>
  </x:cols>
  <x:sheetData>
    <x:row r="1" ht="19.700000762939453" hidden="0">
      <x:c r="A1" s="1" t="s">
        <x:v>754</x:v>
      </x:c>
    </x:row>
    <x:row r="2" ht="30" hidden="0" customHeight="1">
      <x:c r="A2" s="10" t="s">
        <x:v>755</x:v>
      </x:c>
      <x:c r="B2" s="10"/>
      <x:c r="C2" s="10"/>
      <x:c r="D2" s="10"/>
      <x:c r="E2" s="10"/>
      <x:c r="F2" s="10"/>
      <x:c r="G2" s="10"/>
      <x:c r="H2" s="10"/>
      <x:c r="I2" s="10"/>
    </x:row>
    <x:row r="4" ht="27.75" hidden="0" customHeight="1">
      <x:c r="A4" s="11" t="s">
        <x:v>530</x:v>
      </x:c>
      <x:c r="B4" s="11" t="s">
        <x:v>756</x:v>
      </x:c>
      <x:c r="C4" s="11" t="s">
        <x:v>757</x:v>
      </x:c>
      <x:c r="D4" s="11" t="s">
        <x:v>758</x:v>
      </x:c>
      <x:c r="E4" s="11" t="s">
        <x:v>759</x:v>
      </x:c>
      <x:c r="F4" s="11" t="s">
        <x:v>760</x:v>
      </x:c>
      <x:c r="G4" s="11" t="s">
        <x:v>89</x:v>
      </x:c>
      <x:c r="H4" s="11" t="s">
        <x:v>535</x:v>
      </x:c>
      <x:c r="I4" s="11" t="s">
        <x:v>95</x:v>
      </x:c>
    </x:row>
    <x:row r="5" ht="46.25" hidden="0">
      <x:c r="A5" s="13" t="s">
        <x:v>761</x:v>
      </x:c>
      <x:c r="B5" s="13" t="s">
        <x:v>174</x:v>
      </x:c>
      <x:c r="C5" s="15" t="s">
        <x:v>762</x:v>
      </x:c>
      <x:c r="D5" s="15" t="s">
        <x:v>763</x:v>
      </x:c>
      <x:c r="E5" s="22" t="s">
        <x:v>764</x:v>
      </x:c>
      <x:c r="F5" s="13" t="s">
        <x:v>765</x:v>
      </x:c>
      <x:c r="G5" s="13" t="s">
        <x:v>766</x:v>
      </x:c>
      <x:c r="H5" s="13" t="s">
        <x:v>540</x:v>
      </x:c>
      <x:c r="I5" s="15" t="s">
        <x:v>767</x:v>
      </x:c>
    </x:row>
    <x:row r="6" ht="23.850000381469727" hidden="0">
      <x:c r="A6" s="17" t="s">
        <x:v>768</x:v>
      </x:c>
      <x:c r="B6" s="17" t="s">
        <x:v>174</x:v>
      </x:c>
      <x:c r="C6" s="19" t="s">
        <x:v>769</x:v>
      </x:c>
      <x:c r="D6" s="19" t="s">
        <x:v>580</x:v>
      </x:c>
      <x:c r="E6" s="23" t="s">
        <x:v>764</x:v>
      </x:c>
      <x:c r="F6" s="17" t="s">
        <x:v>770</x:v>
      </x:c>
      <x:c r="G6" s="17" t="s">
        <x:v>766</x:v>
      </x:c>
      <x:c r="H6" s="17" t="s">
        <x:v>540</x:v>
      </x:c>
      <x:c r="I6" s="19" t="s">
        <x:v>771</x:v>
      </x:c>
    </x:row>
    <x:row r="7" ht="35.04999923706055" hidden="0">
      <x:c r="A7" s="13" t="s">
        <x:v>772</x:v>
      </x:c>
      <x:c r="B7" s="13" t="s">
        <x:v>773</x:v>
      </x:c>
      <x:c r="C7" s="15" t="s">
        <x:v>774</x:v>
      </x:c>
      <x:c r="D7" s="15" t="s">
        <x:v>775</x:v>
      </x:c>
      <x:c r="E7" s="22" t="s">
        <x:v>764</x:v>
      </x:c>
      <x:c r="F7" s="13" t="s">
        <x:v>765</x:v>
      </x:c>
      <x:c r="G7" s="13" t="s">
        <x:v>766</x:v>
      </x:c>
      <x:c r="H7" s="13" t="s">
        <x:v>540</x:v>
      </x:c>
      <x:c r="I7" s="15" t="s">
        <x:v>776</x:v>
      </x:c>
    </x:row>
    <x:row r="8" ht="23.850000381469727" hidden="0">
      <x:c r="A8" s="17" t="s">
        <x:v>777</x:v>
      </x:c>
      <x:c r="B8" s="17" t="s">
        <x:v>778</x:v>
      </x:c>
      <x:c r="C8" s="19" t="s">
        <x:v>779</x:v>
      </x:c>
      <x:c r="D8" s="19" t="s">
        <x:v>780</x:v>
      </x:c>
      <x:c r="E8" s="18" t="s">
        <x:v>606</x:v>
      </x:c>
      <x:c r="F8" s="17" t="s">
        <x:v>781</x:v>
      </x:c>
      <x:c r="G8" s="17" t="s">
        <x:v>766</x:v>
      </x:c>
      <x:c r="H8" s="17" t="s">
        <x:v>540</x:v>
      </x:c>
      <x:c r="I8" s="19" t="s">
        <x:v>782</x:v>
      </x:c>
    </x:row>
    <x:row r="9" ht="23.850000381469727" hidden="0">
      <x:c r="A9" s="13" t="s">
        <x:v>783</x:v>
      </x:c>
      <x:c r="B9" s="13" t="s">
        <x:v>784</x:v>
      </x:c>
      <x:c r="C9" s="15" t="s">
        <x:v>785</x:v>
      </x:c>
      <x:c r="D9" s="15" t="s">
        <x:v>786</x:v>
      </x:c>
      <x:c r="E9" s="21" t="s">
        <x:v>606</x:v>
      </x:c>
      <x:c r="F9" s="13" t="s">
        <x:v>781</x:v>
      </x:c>
      <x:c r="G9" s="13" t="s">
        <x:v>766</x:v>
      </x:c>
      <x:c r="H9" s="13" t="s">
        <x:v>540</x:v>
      </x:c>
      <x:c r="I9" s="15" t="s">
        <x:v>787</x:v>
      </x:c>
    </x:row>
    <x:row r="10" ht="23.850000381469727" hidden="0">
      <x:c r="A10" s="17" t="s">
        <x:v>788</x:v>
      </x:c>
      <x:c r="B10" s="17" t="s">
        <x:v>789</x:v>
      </x:c>
      <x:c r="C10" s="19" t="s">
        <x:v>790</x:v>
      </x:c>
      <x:c r="D10" s="19" t="s">
        <x:v>791</x:v>
      </x:c>
      <x:c r="E10" s="18" t="s">
        <x:v>606</x:v>
      </x:c>
      <x:c r="F10" s="17" t="s">
        <x:v>781</x:v>
      </x:c>
      <x:c r="G10" s="17" t="s">
        <x:v>766</x:v>
      </x:c>
      <x:c r="H10" s="17" t="s">
        <x:v>540</x:v>
      </x:c>
      <x:c r="I10" s="19" t="s">
        <x:v>792</x:v>
      </x:c>
    </x:row>
    <x:row r="11" ht="23.850000381469727" hidden="0">
      <x:c r="A11" s="13" t="s">
        <x:v>793</x:v>
      </x:c>
      <x:c r="B11" s="13" t="s">
        <x:v>794</x:v>
      </x:c>
      <x:c r="C11" s="15" t="s">
        <x:v>795</x:v>
      </x:c>
      <x:c r="D11" s="15" t="s">
        <x:v>796</x:v>
      </x:c>
      <x:c r="E11" s="21" t="s">
        <x:v>606</x:v>
      </x:c>
      <x:c r="F11" s="13" t="s">
        <x:v>781</x:v>
      </x:c>
      <x:c r="G11" s="13" t="s">
        <x:v>766</x:v>
      </x:c>
      <x:c r="H11" s="13" t="s">
        <x:v>540</x:v>
      </x:c>
      <x:c r="I11" s="15" t="s">
        <x:v>797</x:v>
      </x:c>
    </x:row>
    <x:row r="12" ht="35.04999923706055" hidden="0">
      <x:c r="A12" s="17" t="s">
        <x:v>798</x:v>
      </x:c>
      <x:c r="B12" s="17" t="s">
        <x:v>494</x:v>
      </x:c>
      <x:c r="C12" s="19" t="s">
        <x:v>799</x:v>
      </x:c>
      <x:c r="D12" s="19" t="s">
        <x:v>800</x:v>
      </x:c>
      <x:c r="E12" s="18" t="s">
        <x:v>606</x:v>
      </x:c>
      <x:c r="F12" s="17" t="s">
        <x:v>765</x:v>
      </x:c>
      <x:c r="G12" s="17" t="s">
        <x:v>766</x:v>
      </x:c>
      <x:c r="H12" s="17" t="s">
        <x:v>540</x:v>
      </x:c>
      <x:c r="I12" s="19" t="s">
        <x:v>801</x:v>
      </x:c>
    </x:row>
    <x:row r="13" ht="23.850000381469727" hidden="0">
      <x:c r="A13" s="13" t="s">
        <x:v>802</x:v>
      </x:c>
      <x:c r="B13" s="13" t="s">
        <x:v>803</x:v>
      </x:c>
      <x:c r="C13" s="15" t="s">
        <x:v>804</x:v>
      </x:c>
      <x:c r="D13" s="15" t="s">
        <x:v>805</x:v>
      </x:c>
      <x:c r="E13" s="21" t="s">
        <x:v>606</x:v>
      </x:c>
      <x:c r="F13" s="13" t="s">
        <x:v>806</x:v>
      </x:c>
      <x:c r="G13" s="13" t="s">
        <x:v>766</x:v>
      </x:c>
      <x:c r="H13" s="13" t="s">
        <x:v>807</x:v>
      </x:c>
      <x:c r="I13" s="15" t="s">
        <x:v>808</x:v>
      </x:c>
    </x:row>
    <x:row r="14" ht="23.850000381469727" hidden="0">
      <x:c r="A14" s="17" t="s">
        <x:v>809</x:v>
      </x:c>
      <x:c r="B14" s="17" t="s">
        <x:v>803</x:v>
      </x:c>
      <x:c r="C14" s="19" t="s">
        <x:v>810</x:v>
      </x:c>
      <x:c r="D14" s="19" t="s">
        <x:v>811</x:v>
      </x:c>
      <x:c r="E14" s="18" t="s">
        <x:v>606</x:v>
      </x:c>
      <x:c r="F14" s="17" t="s">
        <x:v>806</x:v>
      </x:c>
      <x:c r="G14" s="17" t="s">
        <x:v>766</x:v>
      </x:c>
      <x:c r="H14" s="17" t="s">
        <x:v>540</x:v>
      </x:c>
      <x:c r="I14" s="19" t="s">
        <x:v>812</x:v>
      </x:c>
    </x:row>
    <x:row r="15" ht="23.850000381469727" hidden="0">
      <x:c r="A15" s="13" t="s">
        <x:v>813</x:v>
      </x:c>
      <x:c r="B15" s="13" t="s">
        <x:v>455</x:v>
      </x:c>
      <x:c r="C15" s="15" t="s">
        <x:v>814</x:v>
      </x:c>
      <x:c r="D15" s="15" t="s">
        <x:v>815</x:v>
      </x:c>
      <x:c r="E15" s="21" t="s">
        <x:v>606</x:v>
      </x:c>
      <x:c r="F15" s="13" t="s">
        <x:v>816</x:v>
      </x:c>
      <x:c r="G15" s="13" t="s">
        <x:v>766</x:v>
      </x:c>
      <x:c r="H15" s="13" t="s">
        <x:v>540</x:v>
      </x:c>
      <x:c r="I15" s="15" t="s">
        <x:v>817</x:v>
      </x:c>
    </x:row>
    <x:row r="16" ht="23.850000381469727" hidden="0">
      <x:c r="A16" s="17" t="s">
        <x:v>818</x:v>
      </x:c>
      <x:c r="B16" s="17" t="s">
        <x:v>803</x:v>
      </x:c>
      <x:c r="C16" s="19" t="s">
        <x:v>819</x:v>
      </x:c>
      <x:c r="D16" s="19" t="s">
        <x:v>820</x:v>
      </x:c>
      <x:c r="E16" s="17" t="s">
        <x:v>816</x:v>
      </x:c>
      <x:c r="F16" s="17" t="s">
        <x:v>806</x:v>
      </x:c>
      <x:c r="G16" s="17" t="s">
        <x:v>766</x:v>
      </x:c>
      <x:c r="H16" s="17" t="s">
        <x:v>540</x:v>
      </x:c>
      <x:c r="I16" s="19" t="s">
        <x:v>821</x:v>
      </x:c>
    </x:row>
    <x:row r="17" ht="23.850000381469727" hidden="0">
      <x:c r="A17" s="13" t="s">
        <x:v>822</x:v>
      </x:c>
      <x:c r="B17" s="13" t="s">
        <x:v>794</x:v>
      </x:c>
      <x:c r="C17" s="15" t="s">
        <x:v>823</x:v>
      </x:c>
      <x:c r="D17" s="15" t="s">
        <x:v>824</x:v>
      </x:c>
      <x:c r="E17" s="13" t="s">
        <x:v>816</x:v>
      </x:c>
      <x:c r="F17" s="13" t="s">
        <x:v>816</x:v>
      </x:c>
      <x:c r="G17" s="13" t="s">
        <x:v>766</x:v>
      </x:c>
      <x:c r="H17" s="13" t="s">
        <x:v>540</x:v>
      </x:c>
      <x:c r="I17" s="15" t="s">
        <x:v>825</x:v>
      </x:c>
    </x:row>
    <x:row r="18" ht="15" hidden="0">
      <x:c r="A18" s="17" t="s">
        <x:v>826</x:v>
      </x:c>
      <x:c r="B18" s="17" t="s">
        <x:v>794</x:v>
      </x:c>
      <x:c r="C18" s="19" t="s">
        <x:v>827</x:v>
      </x:c>
      <x:c r="D18" s="19" t="s">
        <x:v>828</x:v>
      </x:c>
      <x:c r="E18" s="17" t="s">
        <x:v>816</x:v>
      </x:c>
      <x:c r="F18" s="17" t="s">
        <x:v>816</x:v>
      </x:c>
      <x:c r="G18" s="17" t="s">
        <x:v>766</x:v>
      </x:c>
      <x:c r="H18" s="17" t="s">
        <x:v>551</x:v>
      </x:c>
      <x:c r="I18" s="19" t="s">
        <x:v>829</x:v>
      </x:c>
    </x:row>
    <x:row r="19" ht="23.850000381469727" hidden="0">
      <x:c r="A19" s="13" t="s">
        <x:v>830</x:v>
      </x:c>
      <x:c r="B19" s="13" t="s">
        <x:v>831</x:v>
      </x:c>
      <x:c r="C19" s="15" t="s">
        <x:v>832</x:v>
      </x:c>
      <x:c r="D19" s="15" t="s">
        <x:v>833</x:v>
      </x:c>
      <x:c r="E19" s="13" t="s">
        <x:v>816</x:v>
      </x:c>
      <x:c r="F19" s="13" t="s">
        <x:v>806</x:v>
      </x:c>
      <x:c r="G19" s="13" t="s">
        <x:v>766</x:v>
      </x:c>
      <x:c r="H19" s="13" t="s">
        <x:v>807</x:v>
      </x:c>
      <x:c r="I19" s="15" t="s">
        <x:v>834</x:v>
      </x:c>
    </x:row>
    <x:row r="20" ht="23.850000381469727" hidden="0">
      <x:c r="A20" s="17" t="s">
        <x:v>835</x:v>
      </x:c>
      <x:c r="B20" s="17" t="s">
        <x:v>831</x:v>
      </x:c>
      <x:c r="C20" s="19" t="s">
        <x:v>836</x:v>
      </x:c>
      <x:c r="D20" s="19" t="s">
        <x:v>837</x:v>
      </x:c>
      <x:c r="E20" s="17" t="s">
        <x:v>671</x:v>
      </x:c>
      <x:c r="F20" s="17" t="s">
        <x:v>806</x:v>
      </x:c>
      <x:c r="G20" s="17" t="s">
        <x:v>766</x:v>
      </x:c>
      <x:c r="H20" s="17" t="s">
        <x:v>807</x:v>
      </x:c>
      <x:c r="I20" s="19" t="s">
        <x:v>838</x:v>
      </x:c>
    </x:row>
    <x:row r="21" ht="46.25" hidden="0">
      <x:c r="A21" s="13" t="s">
        <x:v>839</x:v>
      </x:c>
      <x:c r="B21" s="13" t="s">
        <x:v>465</x:v>
      </x:c>
      <x:c r="C21" s="15" t="s">
        <x:v>840</x:v>
      </x:c>
      <x:c r="D21" s="15" t="s">
        <x:v>841</x:v>
      </x:c>
      <x:c r="E21" s="13" t="s">
        <x:v>671</x:v>
      </x:c>
      <x:c r="F21" s="13" t="s">
        <x:v>765</x:v>
      </x:c>
      <x:c r="G21" s="13" t="s">
        <x:v>766</x:v>
      </x:c>
      <x:c r="H21" s="13" t="s">
        <x:v>540</x:v>
      </x:c>
      <x:c r="I21" s="15" t="s">
        <x:v>842</x:v>
      </x:c>
    </x:row>
    <x:row r="22" ht="23.850000381469727" hidden="0">
      <x:c r="A22" s="17" t="s">
        <x:v>843</x:v>
      </x:c>
      <x:c r="B22" s="17" t="s">
        <x:v>803</x:v>
      </x:c>
      <x:c r="C22" s="19" t="s">
        <x:v>844</x:v>
      </x:c>
      <x:c r="D22" s="19" t="s">
        <x:v>845</x:v>
      </x:c>
      <x:c r="E22" s="17" t="s">
        <x:v>671</x:v>
      </x:c>
      <x:c r="F22" s="17" t="s">
        <x:v>770</x:v>
      </x:c>
      <x:c r="G22" s="17" t="s">
        <x:v>766</x:v>
      </x:c>
      <x:c r="H22" s="17" t="s">
        <x:v>540</x:v>
      </x:c>
      <x:c r="I22" s="19" t="s">
        <x:v>846</x:v>
      </x:c>
    </x:row>
  </x:sheetData>
  <x:mergeCells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E8672E"/>
  </x:sheetPr>
  <x:sheetViews>
    <x:sheetView showGridLines="1" workbookViewId="0"/>
  </x:sheetViews>
  <x:sheetFormatPr defaultColWidth="8.6796875" defaultRowHeight="15"/>
  <x:cols>
    <x:col min="1" max="1" width="8" hidden="0" customWidth="1"/>
    <x:col min="2" max="2" width="24" hidden="0" customWidth="1"/>
    <x:col min="3" max="3" width="46" hidden="0" customWidth="1"/>
    <x:col min="4" max="4" width="40" hidden="0" customWidth="1"/>
    <x:col min="5" max="5" width="12" hidden="0" customWidth="1"/>
    <x:col min="6" max="6" width="22" hidden="0" customWidth="1"/>
    <x:col min="7" max="7" width="14" hidden="0" customWidth="1"/>
    <x:col min="8" max="9" width="12" hidden="0" customWidth="1"/>
  </x:cols>
  <x:sheetData>
    <x:row r="1" ht="19.700000762939453" hidden="0">
      <x:c r="A1" s="1" t="s">
        <x:v>847</x:v>
      </x:c>
    </x:row>
    <x:row r="2" ht="30" hidden="0" customHeight="1">
      <x:c r="A2" s="10" t="s">
        <x:v>848</x:v>
      </x:c>
      <x:c r="B2" s="10"/>
      <x:c r="C2" s="10"/>
      <x:c r="D2" s="10"/>
      <x:c r="E2" s="10"/>
      <x:c r="F2" s="10"/>
      <x:c r="G2" s="10"/>
      <x:c r="H2" s="10"/>
      <x:c r="I2" s="10"/>
    </x:row>
    <x:row r="4" ht="27.75" hidden="0" customHeight="1">
      <x:c r="A4" s="11" t="s">
        <x:v>530</x:v>
      </x:c>
      <x:c r="B4" s="11" t="s">
        <x:v>756</x:v>
      </x:c>
      <x:c r="C4" s="11" t="s">
        <x:v>849</x:v>
      </x:c>
      <x:c r="D4" s="11" t="s">
        <x:v>850</x:v>
      </x:c>
      <x:c r="E4" s="11" t="s">
        <x:v>535</x:v>
      </x:c>
      <x:c r="F4" s="11" t="s">
        <x:v>851</x:v>
      </x:c>
      <x:c r="G4" s="11" t="s">
        <x:v>852</x:v>
      </x:c>
      <x:c r="H4" s="11" t="s">
        <x:v>89</x:v>
      </x:c>
      <x:c r="I4" s="11" t="s">
        <x:v>853</x:v>
      </x:c>
    </x:row>
    <x:row r="5" ht="23.850000381469727" hidden="0">
      <x:c r="A5" s="13" t="s">
        <x:v>854</x:v>
      </x:c>
      <x:c r="B5" s="13" t="s">
        <x:v>174</x:v>
      </x:c>
      <x:c r="C5" s="15" t="s">
        <x:v>855</x:v>
      </x:c>
      <x:c r="D5" s="15" t="s">
        <x:v>856</x:v>
      </x:c>
      <x:c r="E5" s="13" t="s">
        <x:v>540</x:v>
      </x:c>
      <x:c r="F5" s="24"/>
      <x:c r="G5" s="24"/>
      <x:c r="H5" s="24" t="s">
        <x:v>766</x:v>
      </x:c>
      <x:c r="I5" s="24"/>
    </x:row>
    <x:row r="6" ht="23.850000381469727" hidden="0">
      <x:c r="A6" s="17" t="s">
        <x:v>857</x:v>
      </x:c>
      <x:c r="B6" s="17" t="s">
        <x:v>174</x:v>
      </x:c>
      <x:c r="C6" s="19" t="s">
        <x:v>858</x:v>
      </x:c>
      <x:c r="D6" s="19" t="s">
        <x:v>859</x:v>
      </x:c>
      <x:c r="E6" s="17" t="s">
        <x:v>540</x:v>
      </x:c>
      <x:c r="F6" s="24"/>
      <x:c r="G6" s="24"/>
      <x:c r="H6" s="24" t="s">
        <x:v>766</x:v>
      </x:c>
      <x:c r="I6" s="24"/>
    </x:row>
    <x:row r="7" ht="23.850000381469727" hidden="0">
      <x:c r="A7" s="13" t="s">
        <x:v>860</x:v>
      </x:c>
      <x:c r="B7" s="13" t="s">
        <x:v>773</x:v>
      </x:c>
      <x:c r="C7" s="15" t="s">
        <x:v>861</x:v>
      </x:c>
      <x:c r="D7" s="15" t="s">
        <x:v>862</x:v>
      </x:c>
      <x:c r="E7" s="13" t="s">
        <x:v>540</x:v>
      </x:c>
      <x:c r="F7" s="24"/>
      <x:c r="G7" s="24"/>
      <x:c r="H7" s="24" t="s">
        <x:v>766</x:v>
      </x:c>
      <x:c r="I7" s="24"/>
    </x:row>
    <x:row r="8" ht="35.04999923706055" hidden="0">
      <x:c r="A8" s="17" t="s">
        <x:v>863</x:v>
      </x:c>
      <x:c r="B8" s="17" t="s">
        <x:v>864</x:v>
      </x:c>
      <x:c r="C8" s="19" t="s">
        <x:v>865</x:v>
      </x:c>
      <x:c r="D8" s="19" t="s">
        <x:v>866</x:v>
      </x:c>
      <x:c r="E8" s="17" t="s">
        <x:v>540</x:v>
      </x:c>
      <x:c r="F8" s="24"/>
      <x:c r="G8" s="24"/>
      <x:c r="H8" s="24" t="s">
        <x:v>766</x:v>
      </x:c>
      <x:c r="I8" s="24"/>
    </x:row>
    <x:row r="9" ht="23.850000381469727" hidden="0">
      <x:c r="A9" s="13" t="s">
        <x:v>867</x:v>
      </x:c>
      <x:c r="B9" s="13" t="s">
        <x:v>868</x:v>
      </x:c>
      <x:c r="C9" s="15" t="s">
        <x:v>869</x:v>
      </x:c>
      <x:c r="D9" s="15" t="s">
        <x:v>870</x:v>
      </x:c>
      <x:c r="E9" s="13" t="s">
        <x:v>551</x:v>
      </x:c>
      <x:c r="F9" s="24"/>
      <x:c r="G9" s="24"/>
      <x:c r="H9" s="24" t="s">
        <x:v>766</x:v>
      </x:c>
      <x:c r="I9" s="24"/>
    </x:row>
    <x:row r="10" ht="23.850000381469727" hidden="0">
      <x:c r="A10" s="17" t="s">
        <x:v>871</x:v>
      </x:c>
      <x:c r="B10" s="17" t="s">
        <x:v>864</x:v>
      </x:c>
      <x:c r="C10" s="19" t="s">
        <x:v>872</x:v>
      </x:c>
      <x:c r="D10" s="19" t="s">
        <x:v>873</x:v>
      </x:c>
      <x:c r="E10" s="17" t="s">
        <x:v>540</x:v>
      </x:c>
      <x:c r="F10" s="24"/>
      <x:c r="G10" s="24"/>
      <x:c r="H10" s="24" t="s">
        <x:v>766</x:v>
      </x:c>
      <x:c r="I10" s="24"/>
    </x:row>
    <x:row r="11" ht="35.04999923706055" hidden="0">
      <x:c r="A11" s="13" t="s">
        <x:v>874</x:v>
      </x:c>
      <x:c r="B11" s="13" t="s">
        <x:v>864</x:v>
      </x:c>
      <x:c r="C11" s="15" t="s">
        <x:v>875</x:v>
      </x:c>
      <x:c r="D11" s="15" t="s">
        <x:v>876</x:v>
      </x:c>
      <x:c r="E11" s="13" t="s">
        <x:v>551</x:v>
      </x:c>
      <x:c r="F11" s="24"/>
      <x:c r="G11" s="24"/>
      <x:c r="H11" s="24" t="s">
        <x:v>766</x:v>
      </x:c>
      <x:c r="I11" s="24"/>
    </x:row>
    <x:row r="12" ht="15" hidden="0">
      <x:c r="A12" s="17" t="s">
        <x:v>877</x:v>
      </x:c>
      <x:c r="B12" s="17" t="s">
        <x:v>878</x:v>
      </x:c>
      <x:c r="C12" s="19" t="s">
        <x:v>879</x:v>
      </x:c>
      <x:c r="D12" s="19" t="s">
        <x:v>880</x:v>
      </x:c>
      <x:c r="E12" s="17" t="s">
        <x:v>551</x:v>
      </x:c>
      <x:c r="F12" s="24"/>
      <x:c r="G12" s="24"/>
      <x:c r="H12" s="24" t="s">
        <x:v>766</x:v>
      </x:c>
      <x:c r="I12" s="24"/>
    </x:row>
    <x:row r="13" ht="23.850000381469727" hidden="0">
      <x:c r="A13" s="13" t="s">
        <x:v>881</x:v>
      </x:c>
      <x:c r="B13" s="13" t="s">
        <x:v>831</x:v>
      </x:c>
      <x:c r="C13" s="15" t="s">
        <x:v>882</x:v>
      </x:c>
      <x:c r="D13" s="15" t="s">
        <x:v>883</x:v>
      </x:c>
      <x:c r="E13" s="13" t="s">
        <x:v>807</x:v>
      </x:c>
      <x:c r="F13" s="24"/>
      <x:c r="G13" s="24"/>
      <x:c r="H13" s="24" t="s">
        <x:v>766</x:v>
      </x:c>
      <x:c r="I13" s="24"/>
    </x:row>
    <x:row r="14" ht="23.850000381469727" hidden="0">
      <x:c r="A14" s="17" t="s">
        <x:v>884</x:v>
      </x:c>
      <x:c r="B14" s="17" t="s">
        <x:v>885</x:v>
      </x:c>
      <x:c r="C14" s="19" t="s">
        <x:v>886</x:v>
      </x:c>
      <x:c r="D14" s="19" t="s">
        <x:v>887</x:v>
      </x:c>
      <x:c r="E14" s="17" t="s">
        <x:v>807</x:v>
      </x:c>
      <x:c r="F14" s="24"/>
      <x:c r="G14" s="24"/>
      <x:c r="H14" s="24" t="s">
        <x:v>766</x:v>
      </x:c>
      <x:c r="I14" s="24"/>
    </x:row>
    <x:row r="15" ht="68.6500015258789" hidden="0">
      <x:c r="A15" s="13" t="s">
        <x:v>888</x:v>
      </x:c>
      <x:c r="B15" s="13" t="s">
        <x:v>803</x:v>
      </x:c>
      <x:c r="C15" s="15" t="s">
        <x:v>889</x:v>
      </x:c>
      <x:c r="D15" s="15" t="s">
        <x:v>890</x:v>
      </x:c>
      <x:c r="E15" s="13" t="s">
        <x:v>540</x:v>
      </x:c>
      <x:c r="F15" s="24"/>
      <x:c r="G15" s="24"/>
      <x:c r="H15" s="24" t="s">
        <x:v>766</x:v>
      </x:c>
      <x:c r="I15" s="24"/>
    </x:row>
    <x:row r="16" ht="35.04999923706055" hidden="0">
      <x:c r="A16" s="17" t="s">
        <x:v>891</x:v>
      </x:c>
      <x:c r="B16" s="17" t="s">
        <x:v>803</x:v>
      </x:c>
      <x:c r="C16" s="19" t="s">
        <x:v>892</x:v>
      </x:c>
      <x:c r="D16" s="19" t="s">
        <x:v>893</x:v>
      </x:c>
      <x:c r="E16" s="17" t="s">
        <x:v>540</x:v>
      </x:c>
      <x:c r="F16" s="24"/>
      <x:c r="G16" s="24"/>
      <x:c r="H16" s="24" t="s">
        <x:v>766</x:v>
      </x:c>
      <x:c r="I16" s="24"/>
    </x:row>
    <x:row r="17" ht="23.850000381469727" hidden="0">
      <x:c r="A17" s="13" t="s">
        <x:v>894</x:v>
      </x:c>
      <x:c r="B17" s="13" t="s">
        <x:v>803</x:v>
      </x:c>
      <x:c r="C17" s="15" t="s">
        <x:v>895</x:v>
      </x:c>
      <x:c r="D17" s="15" t="s">
        <x:v>896</x:v>
      </x:c>
      <x:c r="E17" s="13" t="s">
        <x:v>807</x:v>
      </x:c>
      <x:c r="F17" s="24"/>
      <x:c r="G17" s="24"/>
      <x:c r="H17" s="24" t="s">
        <x:v>766</x:v>
      </x:c>
      <x:c r="I17" s="24"/>
    </x:row>
    <x:row r="18" ht="35.04999923706055" hidden="0">
      <x:c r="A18" s="17" t="s">
        <x:v>897</x:v>
      </x:c>
      <x:c r="B18" s="17" t="s">
        <x:v>494</x:v>
      </x:c>
      <x:c r="C18" s="19" t="s">
        <x:v>898</x:v>
      </x:c>
      <x:c r="D18" s="19" t="s">
        <x:v>899</x:v>
      </x:c>
      <x:c r="E18" s="17" t="s">
        <x:v>540</x:v>
      </x:c>
      <x:c r="F18" s="24"/>
      <x:c r="G18" s="24"/>
      <x:c r="H18" s="24" t="s">
        <x:v>766</x:v>
      </x:c>
      <x:c r="I18" s="24"/>
    </x:row>
    <x:row r="19" ht="35.04999923706055" hidden="0">
      <x:c r="A19" s="13" t="s">
        <x:v>900</x:v>
      </x:c>
      <x:c r="B19" s="13" t="s">
        <x:v>794</x:v>
      </x:c>
      <x:c r="C19" s="15" t="s">
        <x:v>901</x:v>
      </x:c>
      <x:c r="D19" s="15" t="s">
        <x:v>902</x:v>
      </x:c>
      <x:c r="E19" s="13" t="s">
        <x:v>540</x:v>
      </x:c>
      <x:c r="F19" s="24"/>
      <x:c r="G19" s="24"/>
      <x:c r="H19" s="24" t="s">
        <x:v>766</x:v>
      </x:c>
      <x:c r="I19" s="24"/>
    </x:row>
    <x:row r="20" ht="35.04999923706055" hidden="0">
      <x:c r="A20" s="17" t="s">
        <x:v>903</x:v>
      </x:c>
      <x:c r="B20" s="17" t="s">
        <x:v>878</x:v>
      </x:c>
      <x:c r="C20" s="19" t="s">
        <x:v>904</x:v>
      </x:c>
      <x:c r="D20" s="19" t="s">
        <x:v>905</x:v>
      </x:c>
      <x:c r="E20" s="17" t="s">
        <x:v>540</x:v>
      </x:c>
      <x:c r="F20" s="24"/>
      <x:c r="G20" s="24"/>
      <x:c r="H20" s="24" t="s">
        <x:v>766</x:v>
      </x:c>
      <x:c r="I20" s="24"/>
    </x:row>
    <x:row r="21" ht="23.850000381469727" hidden="0">
      <x:c r="A21" s="13" t="s">
        <x:v>906</x:v>
      </x:c>
      <x:c r="B21" s="13" t="s">
        <x:v>174</x:v>
      </x:c>
      <x:c r="C21" s="15" t="s">
        <x:v>907</x:v>
      </x:c>
      <x:c r="D21" s="15" t="s">
        <x:v>908</x:v>
      </x:c>
      <x:c r="E21" s="13" t="s">
        <x:v>551</x:v>
      </x:c>
      <x:c r="F21" s="24"/>
      <x:c r="G21" s="24"/>
      <x:c r="H21" s="24" t="s">
        <x:v>766</x:v>
      </x:c>
      <x:c r="I21" s="24"/>
    </x:row>
    <x:row r="22" ht="57.45000076293945" hidden="0">
      <x:c r="A22" s="17" t="s">
        <x:v>909</x:v>
      </x:c>
      <x:c r="B22" s="17" t="s">
        <x:v>910</x:v>
      </x:c>
      <x:c r="C22" s="19" t="s">
        <x:v>911</x:v>
      </x:c>
      <x:c r="D22" s="19" t="s">
        <x:v>912</x:v>
      </x:c>
      <x:c r="E22" s="17" t="s">
        <x:v>540</x:v>
      </x:c>
      <x:c r="F22" s="24"/>
      <x:c r="G22" s="24"/>
      <x:c r="H22" s="24" t="s">
        <x:v>766</x:v>
      </x:c>
      <x:c r="I22" s="24"/>
    </x:row>
    <x:row r="23" ht="46.25" hidden="0">
      <x:c r="A23" s="13" t="s">
        <x:v>913</x:v>
      </x:c>
      <x:c r="B23" s="13" t="s">
        <x:v>910</x:v>
      </x:c>
      <x:c r="C23" s="15" t="s">
        <x:v>914</x:v>
      </x:c>
      <x:c r="D23" s="15" t="s">
        <x:v>915</x:v>
      </x:c>
      <x:c r="E23" s="13" t="s">
        <x:v>540</x:v>
      </x:c>
      <x:c r="F23" s="24"/>
      <x:c r="G23" s="24"/>
      <x:c r="H23" s="24" t="s">
        <x:v>766</x:v>
      </x:c>
      <x:c r="I23" s="24"/>
    </x:row>
  </x:sheetData>
  <x:mergeCells>
    <x:mergeCell ref="A2:I2"/>
  </x:mergeCells>
  <x:pageMargins left="0.7" right="0.7" top="0.75" bottom="0.75" header="0.3" footer="0.3"/>
  <x:legacyDrawing xmlns:r="http://schemas.openxmlformats.org/officeDocument/2006/relationships" r:id="Rc0d5e25d4a2245e0"/>
</x:worksheet>
</file>

<file path=xl/worksheets/sheet9.xml><?xml version="1.0" encoding="utf-8"?>
<x:worksheet xmlns:x="http://schemas.openxmlformats.org/spreadsheetml/2006/main">
  <x:sheetPr>
    <x:tabColor rgb="FF9A9A9A"/>
  </x:sheetPr>
  <x:sheetViews>
    <x:sheetView showGridLines="1" workbookViewId="0"/>
  </x:sheetViews>
  <x:sheetFormatPr defaultColWidth="8.6796875" defaultRowHeight="15"/>
  <x:cols>
    <x:col min="1" max="1" width="8" hidden="0" customWidth="1"/>
    <x:col min="2" max="2" width="22" hidden="0" customWidth="1"/>
    <x:col min="3" max="3" width="30" hidden="0" customWidth="1"/>
    <x:col min="4" max="4" width="12" hidden="0" customWidth="1"/>
    <x:col min="5" max="5" width="20" hidden="0" customWidth="1"/>
    <x:col min="6" max="6" width="10" hidden="0" customWidth="1"/>
    <x:col min="7" max="7" width="30" hidden="0" customWidth="1"/>
    <x:col min="8" max="8" width="26" hidden="0" customWidth="1"/>
    <x:col min="9" max="9" width="14" hidden="0" customWidth="1"/>
    <x:col min="10" max="11" width="12" hidden="0" customWidth="1"/>
  </x:cols>
  <x:sheetData>
    <x:row r="1" ht="19.700000762939453" hidden="0">
      <x:c r="A1" s="1" t="s">
        <x:v>916</x:v>
      </x:c>
    </x:row>
    <x:row r="2" ht="30" hidden="0" customHeight="1">
      <x:c r="A2" s="10" t="s">
        <x:v>917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7.75" hidden="0" customHeight="1">
      <x:c r="A4" s="11" t="s">
        <x:v>530</x:v>
      </x:c>
      <x:c r="B4" s="11" t="s">
        <x:v>918</x:v>
      </x:c>
      <x:c r="C4" s="11" t="s">
        <x:v>919</x:v>
      </x:c>
      <x:c r="D4" s="11" t="s">
        <x:v>678</x:v>
      </x:c>
      <x:c r="E4" s="11" t="s">
        <x:v>920</x:v>
      </x:c>
      <x:c r="F4" s="11" t="s">
        <x:v>921</x:v>
      </x:c>
      <x:c r="G4" s="11" t="s">
        <x:v>922</x:v>
      </x:c>
      <x:c r="H4" s="11" t="s">
        <x:v>923</x:v>
      </x:c>
      <x:c r="I4" s="11" t="s">
        <x:v>89</x:v>
      </x:c>
      <x:c r="J4" s="11" t="s">
        <x:v>852</x:v>
      </x:c>
      <x:c r="K4" s="11" t="s">
        <x:v>853</x:v>
      </x:c>
    </x:row>
    <x:row r="5" ht="15" hidden="0">
      <x:c r="A5" s="13" t="s">
        <x:v>924</x:v>
      </x:c>
      <x:c r="B5" s="13" t="s">
        <x:v>885</x:v>
      </x:c>
      <x:c r="C5" s="15" t="s">
        <x:v>925</x:v>
      </x:c>
      <x:c r="D5" s="13" t="s">
        <x:v>926</x:v>
      </x:c>
      <x:c r="E5" s="13" t="s">
        <x:v>927</x:v>
      </x:c>
      <x:c r="F5" s="13" t="s">
        <x:v>928</x:v>
      </x:c>
      <x:c r="G5" s="15" t="s">
        <x:v>929</x:v>
      </x:c>
      <x:c r="H5" s="15" t="s">
        <x:v>930</x:v>
      </x:c>
      <x:c r="I5" s="25" t="s">
        <x:v>931</x:v>
      </x:c>
      <x:c r="J5" s="24"/>
      <x:c r="K5" s="24"/>
    </x:row>
    <x:row r="6" ht="23.850000381469727" hidden="0">
      <x:c r="A6" s="17" t="s">
        <x:v>932</x:v>
      </x:c>
      <x:c r="B6" s="17" t="s">
        <x:v>885</x:v>
      </x:c>
      <x:c r="C6" s="19" t="s">
        <x:v>933</x:v>
      </x:c>
      <x:c r="D6" s="17" t="s">
        <x:v>926</x:v>
      </x:c>
      <x:c r="E6" s="17" t="s">
        <x:v>934</x:v>
      </x:c>
      <x:c r="F6" s="17" t="s">
        <x:v>928</x:v>
      </x:c>
      <x:c r="G6" s="19" t="s">
        <x:v>935</x:v>
      </x:c>
      <x:c r="H6" s="19" t="s">
        <x:v>936</x:v>
      </x:c>
      <x:c r="I6" s="25" t="s">
        <x:v>931</x:v>
      </x:c>
      <x:c r="J6" s="24"/>
      <x:c r="K6" s="24"/>
    </x:row>
    <x:row r="7" ht="15" hidden="0">
      <x:c r="A7" s="13" t="s">
        <x:v>937</x:v>
      </x:c>
      <x:c r="B7" s="13" t="s">
        <x:v>885</x:v>
      </x:c>
      <x:c r="C7" s="15" t="s">
        <x:v>938</x:v>
      </x:c>
      <x:c r="D7" s="13" t="s">
        <x:v>939</x:v>
      </x:c>
      <x:c r="E7" s="13" t="s">
        <x:v>580</x:v>
      </x:c>
      <x:c r="F7" s="13" t="s">
        <x:v>928</x:v>
      </x:c>
      <x:c r="G7" s="15" t="s">
        <x:v>940</x:v>
      </x:c>
      <x:c r="H7" s="15" t="s">
        <x:v>580</x:v>
      </x:c>
      <x:c r="I7" s="25" t="s">
        <x:v>931</x:v>
      </x:c>
      <x:c r="J7" s="24"/>
      <x:c r="K7" s="24"/>
    </x:row>
    <x:row r="8" ht="23.850000381469727" hidden="0">
      <x:c r="A8" s="17" t="s">
        <x:v>941</x:v>
      </x:c>
      <x:c r="B8" s="17" t="s">
        <x:v>241</x:v>
      </x:c>
      <x:c r="C8" s="19" t="s">
        <x:v>942</x:v>
      </x:c>
      <x:c r="D8" s="17" t="s">
        <x:v>943</x:v>
      </x:c>
      <x:c r="E8" s="17" t="s">
        <x:v>944</x:v>
      </x:c>
      <x:c r="F8" s="17" t="s">
        <x:v>928</x:v>
      </x:c>
      <x:c r="G8" s="19" t="s">
        <x:v>945</x:v>
      </x:c>
      <x:c r="H8" s="19" t="s">
        <x:v>946</x:v>
      </x:c>
      <x:c r="I8" s="25" t="s">
        <x:v>931</x:v>
      </x:c>
      <x:c r="J8" s="24"/>
      <x:c r="K8" s="24"/>
    </x:row>
    <x:row r="9" ht="23.850000381469727" hidden="0">
      <x:c r="A9" s="13" t="s">
        <x:v>947</x:v>
      </x:c>
      <x:c r="B9" s="13" t="s">
        <x:v>241</x:v>
      </x:c>
      <x:c r="C9" s="15" t="s">
        <x:v>948</x:v>
      </x:c>
      <x:c r="D9" s="13" t="s">
        <x:v>943</x:v>
      </x:c>
      <x:c r="E9" s="13" t="s">
        <x:v>949</x:v>
      </x:c>
      <x:c r="F9" s="13" t="s">
        <x:v>950</x:v>
      </x:c>
      <x:c r="G9" s="15" t="s">
        <x:v>951</x:v>
      </x:c>
      <x:c r="H9" s="15" t="s">
        <x:v>952</x:v>
      </x:c>
      <x:c r="I9" s="25" t="s">
        <x:v>931</x:v>
      </x:c>
      <x:c r="J9" s="24"/>
      <x:c r="K9" s="24"/>
    </x:row>
    <x:row r="10" ht="15" hidden="0">
      <x:c r="A10" s="17" t="s">
        <x:v>953</x:v>
      </x:c>
      <x:c r="B10" s="17" t="s">
        <x:v>241</x:v>
      </x:c>
      <x:c r="C10" s="19" t="s">
        <x:v>954</x:v>
      </x:c>
      <x:c r="D10" s="17" t="s">
        <x:v>955</x:v>
      </x:c>
      <x:c r="E10" s="17" t="s">
        <x:v>956</x:v>
      </x:c>
      <x:c r="F10" s="17" t="s">
        <x:v>928</x:v>
      </x:c>
      <x:c r="G10" s="19" t="s">
        <x:v>252</x:v>
      </x:c>
      <x:c r="H10" s="19" t="s">
        <x:v>957</x:v>
      </x:c>
      <x:c r="I10" s="25" t="s">
        <x:v>931</x:v>
      </x:c>
      <x:c r="J10" s="24"/>
      <x:c r="K10" s="24"/>
    </x:row>
    <x:row r="11" ht="23.850000381469727" hidden="0">
      <x:c r="A11" s="13" t="s">
        <x:v>958</x:v>
      </x:c>
      <x:c r="B11" s="13" t="s">
        <x:v>241</x:v>
      </x:c>
      <x:c r="C11" s="15" t="s">
        <x:v>959</x:v>
      </x:c>
      <x:c r="D11" s="13" t="s">
        <x:v>955</x:v>
      </x:c>
      <x:c r="E11" s="13" t="s">
        <x:v>960</x:v>
      </x:c>
      <x:c r="F11" s="13" t="s">
        <x:v>961</x:v>
      </x:c>
      <x:c r="G11" s="15" t="s">
        <x:v>962</x:v>
      </x:c>
      <x:c r="H11" s="15" t="s">
        <x:v>963</x:v>
      </x:c>
      <x:c r="I11" s="25" t="s">
        <x:v>931</x:v>
      </x:c>
      <x:c r="J11" s="24"/>
      <x:c r="K11" s="24"/>
    </x:row>
    <x:row r="12" ht="15" hidden="0">
      <x:c r="A12" s="17" t="s">
        <x:v>964</x:v>
      </x:c>
      <x:c r="B12" s="17" t="s">
        <x:v>241</x:v>
      </x:c>
      <x:c r="C12" s="19" t="s">
        <x:v>965</x:v>
      </x:c>
      <x:c r="D12" s="17" t="s">
        <x:v>966</x:v>
      </x:c>
      <x:c r="E12" s="17" t="s">
        <x:v>949</x:v>
      </x:c>
      <x:c r="F12" s="17" t="s">
        <x:v>967</x:v>
      </x:c>
      <x:c r="G12" s="19" t="s">
        <x:v>968</x:v>
      </x:c>
      <x:c r="H12" s="19" t="s">
        <x:v>969</x:v>
      </x:c>
      <x:c r="I12" s="25" t="s">
        <x:v>931</x:v>
      </x:c>
      <x:c r="J12" s="24"/>
      <x:c r="K12" s="24"/>
    </x:row>
    <x:row r="13" ht="15" hidden="0">
      <x:c r="A13" s="13" t="s">
        <x:v>970</x:v>
      </x:c>
      <x:c r="B13" s="13" t="s">
        <x:v>241</x:v>
      </x:c>
      <x:c r="C13" s="15" t="s">
        <x:v>971</x:v>
      </x:c>
      <x:c r="D13" s="13" t="s">
        <x:v>966</x:v>
      </x:c>
      <x:c r="E13" s="13" t="s">
        <x:v>949</x:v>
      </x:c>
      <x:c r="F13" s="13" t="s">
        <x:v>967</x:v>
      </x:c>
      <x:c r="G13" s="15" t="s">
        <x:v>972</x:v>
      </x:c>
      <x:c r="H13" s="15" t="s">
        <x:v>973</x:v>
      </x:c>
      <x:c r="I13" s="25" t="s">
        <x:v>931</x:v>
      </x:c>
      <x:c r="J13" s="24"/>
      <x:c r="K13" s="24"/>
    </x:row>
    <x:row r="14" ht="15" hidden="0">
      <x:c r="A14" s="17" t="s">
        <x:v>974</x:v>
      </x:c>
      <x:c r="B14" s="17" t="s">
        <x:v>241</x:v>
      </x:c>
      <x:c r="C14" s="19" t="s">
        <x:v>975</x:v>
      </x:c>
      <x:c r="D14" s="17" t="s">
        <x:v>966</x:v>
      </x:c>
      <x:c r="E14" s="17" t="s">
        <x:v>949</x:v>
      </x:c>
      <x:c r="F14" s="17" t="s">
        <x:v>967</x:v>
      </x:c>
      <x:c r="G14" s="19" t="s">
        <x:v>976</x:v>
      </x:c>
      <x:c r="H14" s="19" t="s">
        <x:v>977</x:v>
      </x:c>
      <x:c r="I14" s="25" t="s">
        <x:v>931</x:v>
      </x:c>
      <x:c r="J14" s="24"/>
      <x:c r="K14" s="24"/>
    </x:row>
    <x:row r="15" ht="15" hidden="0">
      <x:c r="A15" s="13" t="s">
        <x:v>978</x:v>
      </x:c>
      <x:c r="B15" s="13" t="s">
        <x:v>241</x:v>
      </x:c>
      <x:c r="C15" s="15" t="s">
        <x:v>979</x:v>
      </x:c>
      <x:c r="D15" s="13" t="s">
        <x:v>966</x:v>
      </x:c>
      <x:c r="E15" s="13" t="s">
        <x:v>980</x:v>
      </x:c>
      <x:c r="F15" s="13" t="s">
        <x:v>981</x:v>
      </x:c>
      <x:c r="G15" s="15" t="s">
        <x:v>982</x:v>
      </x:c>
      <x:c r="H15" s="15" t="s">
        <x:v>580</x:v>
      </x:c>
      <x:c r="I15" s="25" t="s">
        <x:v>931</x:v>
      </x:c>
      <x:c r="J15" s="24"/>
      <x:c r="K15" s="24"/>
    </x:row>
    <x:row r="16" ht="23.850000381469727" hidden="0">
      <x:c r="A16" s="17" t="s">
        <x:v>983</x:v>
      </x:c>
      <x:c r="B16" s="17" t="s">
        <x:v>984</x:v>
      </x:c>
      <x:c r="C16" s="19" t="s">
        <x:v>985</x:v>
      </x:c>
      <x:c r="D16" s="17" t="s">
        <x:v>986</x:v>
      </x:c>
      <x:c r="E16" s="17" t="s">
        <x:v>987</x:v>
      </x:c>
      <x:c r="F16" s="17" t="s">
        <x:v>928</x:v>
      </x:c>
      <x:c r="G16" s="19" t="s">
        <x:v>988</x:v>
      </x:c>
      <x:c r="H16" s="19" t="s">
        <x:v>989</x:v>
      </x:c>
      <x:c r="I16" s="25" t="s">
        <x:v>931</x:v>
      </x:c>
      <x:c r="J16" s="24"/>
      <x:c r="K16" s="24"/>
    </x:row>
    <x:row r="17" ht="15" hidden="0">
      <x:c r="A17" s="13" t="s">
        <x:v>990</x:v>
      </x:c>
      <x:c r="B17" s="13" t="s">
        <x:v>984</x:v>
      </x:c>
      <x:c r="C17" s="15" t="s">
        <x:v>991</x:v>
      </x:c>
      <x:c r="D17" s="13" t="s">
        <x:v>986</x:v>
      </x:c>
      <x:c r="E17" s="13" t="s">
        <x:v>987</x:v>
      </x:c>
      <x:c r="F17" s="13" t="s">
        <x:v>981</x:v>
      </x:c>
      <x:c r="G17" s="15" t="s">
        <x:v>992</x:v>
      </x:c>
      <x:c r="H17" s="15" t="s">
        <x:v>993</x:v>
      </x:c>
      <x:c r="I17" s="25" t="s">
        <x:v>931</x:v>
      </x:c>
      <x:c r="J17" s="24"/>
      <x:c r="K17" s="24"/>
    </x:row>
    <x:row r="18" ht="15" hidden="0">
      <x:c r="A18" s="17" t="s">
        <x:v>994</x:v>
      </x:c>
      <x:c r="B18" s="17" t="s">
        <x:v>995</x:v>
      </x:c>
      <x:c r="C18" s="19" t="s">
        <x:v>996</x:v>
      </x:c>
      <x:c r="D18" s="17" t="s">
        <x:v>997</x:v>
      </x:c>
      <x:c r="E18" s="17" t="s">
        <x:v>998</x:v>
      </x:c>
      <x:c r="F18" s="17" t="s">
        <x:v>999</x:v>
      </x:c>
      <x:c r="G18" s="19" t="s">
        <x:v>168</x:v>
      </x:c>
      <x:c r="H18" s="19" t="s">
        <x:v>1000</x:v>
      </x:c>
      <x:c r="I18" s="25" t="s">
        <x:v>931</x:v>
      </x:c>
      <x:c r="J18" s="24"/>
      <x:c r="K18" s="24"/>
    </x:row>
    <x:row r="19" ht="15" hidden="0">
      <x:c r="A19" s="13" t="s">
        <x:v>1001</x:v>
      </x:c>
      <x:c r="B19" s="13" t="s">
        <x:v>995</x:v>
      </x:c>
      <x:c r="C19" s="15" t="s">
        <x:v>1002</x:v>
      </x:c>
      <x:c r="D19" s="13" t="s">
        <x:v>966</x:v>
      </x:c>
      <x:c r="E19" s="13" t="s">
        <x:v>1003</x:v>
      </x:c>
      <x:c r="F19" s="13" t="s">
        <x:v>1004</x:v>
      </x:c>
      <x:c r="G19" s="15" t="s">
        <x:v>168</x:v>
      </x:c>
      <x:c r="H19" s="15" t="s">
        <x:v>580</x:v>
      </x:c>
      <x:c r="I19" s="25" t="s">
        <x:v>931</x:v>
      </x:c>
      <x:c r="J19" s="24"/>
      <x:c r="K19" s="24"/>
    </x:row>
    <x:row r="20" ht="15" hidden="0">
      <x:c r="A20" s="17" t="s">
        <x:v>1005</x:v>
      </x:c>
      <x:c r="B20" s="17" t="s">
        <x:v>1006</x:v>
      </x:c>
      <x:c r="C20" s="19" t="s">
        <x:v>1007</x:v>
      </x:c>
      <x:c r="D20" s="17" t="s">
        <x:v>966</x:v>
      </x:c>
      <x:c r="E20" s="17" t="s">
        <x:v>1008</x:v>
      </x:c>
      <x:c r="F20" s="17" t="s">
        <x:v>1009</x:v>
      </x:c>
      <x:c r="G20" s="19" t="s">
        <x:v>208</x:v>
      </x:c>
      <x:c r="H20" s="19" t="s">
        <x:v>580</x:v>
      </x:c>
      <x:c r="I20" s="25" t="s">
        <x:v>931</x:v>
      </x:c>
      <x:c r="J20" s="24"/>
      <x:c r="K20" s="24"/>
    </x:row>
    <x:row r="21" ht="23.850000381469727" hidden="0">
      <x:c r="A21" s="13" t="s">
        <x:v>1010</x:v>
      </x:c>
      <x:c r="B21" s="13" t="s">
        <x:v>144</x:v>
      </x:c>
      <x:c r="C21" s="15" t="s">
        <x:v>1011</x:v>
      </x:c>
      <x:c r="D21" s="13" t="s">
        <x:v>926</x:v>
      </x:c>
      <x:c r="E21" s="13" t="s">
        <x:v>927</x:v>
      </x:c>
      <x:c r="F21" s="13" t="s">
        <x:v>1012</x:v>
      </x:c>
      <x:c r="G21" s="15" t="s">
        <x:v>142</x:v>
      </x:c>
      <x:c r="H21" s="15" t="s">
        <x:v>1013</x:v>
      </x:c>
      <x:c r="I21" s="25" t="s">
        <x:v>931</x:v>
      </x:c>
      <x:c r="J21" s="24"/>
      <x:c r="K21" s="24"/>
    </x:row>
    <x:row r="22" ht="15" hidden="0">
      <x:c r="A22" s="17" t="s">
        <x:v>1014</x:v>
      </x:c>
      <x:c r="B22" s="17" t="s">
        <x:v>1015</x:v>
      </x:c>
      <x:c r="C22" s="19" t="s">
        <x:v>1016</x:v>
      </x:c>
      <x:c r="D22" s="17" t="s">
        <x:v>926</x:v>
      </x:c>
      <x:c r="E22" s="17" t="s">
        <x:v>960</x:v>
      </x:c>
      <x:c r="F22" s="17" t="s">
        <x:v>928</x:v>
      </x:c>
      <x:c r="G22" s="19" t="s">
        <x:v>1017</x:v>
      </x:c>
      <x:c r="H22" s="19" t="s">
        <x:v>1018</x:v>
      </x:c>
      <x:c r="I22" s="25" t="s">
        <x:v>931</x:v>
      </x:c>
      <x:c r="J22" s="24"/>
      <x:c r="K22" s="24"/>
    </x:row>
    <x:row r="23" ht="23.850000381469727" hidden="0">
      <x:c r="A23" s="13" t="s">
        <x:v>1019</x:v>
      </x:c>
      <x:c r="B23" s="13" t="s">
        <x:v>1015</x:v>
      </x:c>
      <x:c r="C23" s="15" t="s">
        <x:v>1020</x:v>
      </x:c>
      <x:c r="D23" s="13" t="s">
        <x:v>926</x:v>
      </x:c>
      <x:c r="E23" s="13" t="s">
        <x:v>960</x:v>
      </x:c>
      <x:c r="F23" s="13" t="s">
        <x:v>928</x:v>
      </x:c>
      <x:c r="G23" s="15" t="s">
        <x:v>327</x:v>
      </x:c>
      <x:c r="H23" s="15" t="s">
        <x:v>1021</x:v>
      </x:c>
      <x:c r="I23" s="25" t="s">
        <x:v>931</x:v>
      </x:c>
      <x:c r="J23" s="24"/>
      <x:c r="K23" s="24"/>
    </x:row>
    <x:row r="24" ht="23.850000381469727" hidden="0">
      <x:c r="A24" s="17" t="s">
        <x:v>1022</x:v>
      </x:c>
      <x:c r="B24" s="17" t="s">
        <x:v>369</x:v>
      </x:c>
      <x:c r="C24" s="19" t="s">
        <x:v>1023</x:v>
      </x:c>
      <x:c r="D24" s="17" t="s">
        <x:v>939</x:v>
      </x:c>
      <x:c r="E24" s="17" t="s">
        <x:v>1024</x:v>
      </x:c>
      <x:c r="F24" s="17" t="s">
        <x:v>928</x:v>
      </x:c>
      <x:c r="G24" s="19" t="s">
        <x:v>150</x:v>
      </x:c>
      <x:c r="H24" s="19" t="s">
        <x:v>1025</x:v>
      </x:c>
      <x:c r="I24" s="25" t="s">
        <x:v>931</x:v>
      </x:c>
      <x:c r="J24" s="24"/>
      <x:c r="K24" s="24"/>
    </x:row>
    <x:row r="25" ht="15" hidden="0">
      <x:c r="A25" s="13" t="s">
        <x:v>1026</x:v>
      </x:c>
      <x:c r="B25" s="13" t="s">
        <x:v>369</x:v>
      </x:c>
      <x:c r="C25" s="15" t="s">
        <x:v>1027</x:v>
      </x:c>
      <x:c r="D25" s="13" t="s">
        <x:v>1028</x:v>
      </x:c>
      <x:c r="E25" s="13" t="s">
        <x:v>1024</x:v>
      </x:c>
      <x:c r="F25" s="13" t="s">
        <x:v>1029</x:v>
      </x:c>
      <x:c r="G25" s="15" t="s">
        <x:v>1030</x:v>
      </x:c>
      <x:c r="H25" s="15" t="s">
        <x:v>580</x:v>
      </x:c>
      <x:c r="I25" s="25" t="s">
        <x:v>931</x:v>
      </x:c>
      <x:c r="J25" s="24"/>
      <x:c r="K25" s="24"/>
    </x:row>
    <x:row r="26" ht="15" hidden="0">
      <x:c r="A26" s="17" t="s">
        <x:v>1031</x:v>
      </x:c>
      <x:c r="B26" s="17" t="s">
        <x:v>1032</x:v>
      </x:c>
      <x:c r="C26" s="19" t="s">
        <x:v>1033</x:v>
      </x:c>
      <x:c r="D26" s="17" t="s">
        <x:v>1034</x:v>
      </x:c>
      <x:c r="E26" s="17" t="s">
        <x:v>580</x:v>
      </x:c>
      <x:c r="F26" s="17" t="s">
        <x:v>928</x:v>
      </x:c>
      <x:c r="G26" s="19" t="s">
        <x:v>146</x:v>
      </x:c>
      <x:c r="H26" s="19" t="s">
        <x:v>1035</x:v>
      </x:c>
      <x:c r="I26" s="25" t="s">
        <x:v>931</x:v>
      </x:c>
      <x:c r="J26" s="24"/>
      <x:c r="K26" s="24"/>
    </x:row>
    <x:row r="27" ht="15" hidden="0">
      <x:c r="A27" s="13" t="s">
        <x:v>1036</x:v>
      </x:c>
      <x:c r="B27" s="13" t="s">
        <x:v>1037</x:v>
      </x:c>
      <x:c r="C27" s="15" t="s">
        <x:v>1038</x:v>
      </x:c>
      <x:c r="D27" s="13" t="s">
        <x:v>1039</x:v>
      </x:c>
      <x:c r="E27" s="13" t="s">
        <x:v>1040</x:v>
      </x:c>
      <x:c r="F27" s="13" t="s">
        <x:v>981</x:v>
      </x:c>
      <x:c r="G27" s="15" t="s">
        <x:v>1041</x:v>
      </x:c>
      <x:c r="H27" s="15" t="s">
        <x:v>580</x:v>
      </x:c>
      <x:c r="I27" s="25" t="s">
        <x:v>931</x:v>
      </x:c>
      <x:c r="J27" s="24"/>
      <x:c r="K27" s="24"/>
    </x:row>
    <x:row r="28" ht="23.850000381469727" hidden="0">
      <x:c r="A28" s="17" t="s">
        <x:v>1042</x:v>
      </x:c>
      <x:c r="B28" s="17" t="s">
        <x:v>174</x:v>
      </x:c>
      <x:c r="C28" s="19" t="s">
        <x:v>1043</x:v>
      </x:c>
      <x:c r="D28" s="17" t="s">
        <x:v>1044</x:v>
      </x:c>
      <x:c r="E28" s="17" t="s">
        <x:v>580</x:v>
      </x:c>
      <x:c r="F28" s="17" t="s">
        <x:v>928</x:v>
      </x:c>
      <x:c r="G28" s="19" t="s">
        <x:v>1045</x:v>
      </x:c>
      <x:c r="H28" s="19" t="s">
        <x:v>1046</x:v>
      </x:c>
      <x:c r="I28" s="25" t="s">
        <x:v>931</x:v>
      </x:c>
      <x:c r="J28" s="24"/>
      <x:c r="K28" s="24"/>
    </x:row>
  </x:sheetData>
  <x:mergeCells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C3024"/>
  </x:sheetPr>
  <x:sheetViews>
    <x:sheetView showGridLines="1" workbookViewId="0"/>
  </x:sheetViews>
  <x:sheetFormatPr defaultColWidth="8.6796875" defaultRowHeight="15"/>
  <x:cols>
    <x:col min="1" max="1" width="12" hidden="0" customWidth="1"/>
    <x:col min="2" max="2" width="24" hidden="0" customWidth="1"/>
    <x:col min="3" max="3" width="26" hidden="0" customWidth="1"/>
    <x:col min="4" max="4" width="12" hidden="0" customWidth="1"/>
    <x:col min="5" max="5" width="40" hidden="0" customWidth="1"/>
    <x:col min="6" max="6" width="46" hidden="0" customWidth="1"/>
    <x:col min="7" max="7" width="56" hidden="0" customWidth="1"/>
  </x:cols>
  <x:sheetData>
    <x:row r="1" ht="19.700000762939453" hidden="0">
      <x:c r="A1" s="1" t="s">
        <x:v>1047</x:v>
      </x:c>
    </x:row>
    <x:row r="2" ht="30" hidden="0" customHeight="1">
      <x:c r="A2" s="10" t="s">
        <x:v>1048</x:v>
      </x:c>
      <x:c r="B2" s="10"/>
      <x:c r="C2" s="10"/>
      <x:c r="D2" s="10"/>
      <x:c r="E2" s="10"/>
      <x:c r="F2" s="10"/>
      <x:c r="G2" s="10"/>
    </x:row>
    <x:row r="4" ht="27.75" hidden="0" customHeight="1">
      <x:c r="A4" s="11" t="s">
        <x:v>910</x:v>
      </x:c>
      <x:c r="B4" s="11" t="s">
        <x:v>1049</x:v>
      </x:c>
      <x:c r="C4" s="11" t="s">
        <x:v>1050</x:v>
      </x:c>
      <x:c r="D4" s="11" t="s">
        <x:v>1051</x:v>
      </x:c>
      <x:c r="E4" s="11" t="s">
        <x:v>1052</x:v>
      </x:c>
      <x:c r="F4" s="11" t="s">
        <x:v>1053</x:v>
      </x:c>
      <x:c r="G4" s="11" t="s">
        <x:v>1054</x:v>
      </x:c>
    </x:row>
    <x:row r="5" ht="15" hidden="0" customHeight="1">
      <x:c r="A5" s="26" t="s">
        <x:v>221</x:v>
      </x:c>
      <x:c r="B5" s="27" t="s">
        <x:v>1055</x:v>
      </x:c>
      <x:c r="C5" s="27"/>
      <x:c r="D5" s="27"/>
      <x:c r="E5" s="27"/>
      <x:c r="F5" s="27"/>
      <x:c r="G5" s="27"/>
    </x:row>
    <x:row r="6" ht="23.850000381469727" hidden="0">
      <x:c r="A6" s="13"/>
      <x:c r="B6" s="13" t="s">
        <x:v>1056</x:v>
      </x:c>
      <x:c r="C6" s="13" t="s">
        <x:v>1057</x:v>
      </x:c>
      <x:c r="D6" s="14" t="s">
        <x:v>1058</x:v>
      </x:c>
      <x:c r="E6" s="15" t="s">
        <x:v>241</x:v>
      </x:c>
      <x:c r="F6" s="15"/>
      <x:c r="G6" s="15" t="s">
        <x:v>1059</x:v>
      </x:c>
    </x:row>
    <x:row r="7" ht="15" hidden="0">
      <x:c r="A7" s="13"/>
      <x:c r="B7" s="13" t="s">
        <x:v>1056</x:v>
      </x:c>
      <x:c r="C7" s="13" t="s">
        <x:v>1060</x:v>
      </x:c>
      <x:c r="D7" s="14" t="s">
        <x:v>1061</x:v>
      </x:c>
      <x:c r="E7" s="15" t="s">
        <x:v>1062</x:v>
      </x:c>
      <x:c r="F7" s="15"/>
      <x:c r="G7" s="15"/>
    </x:row>
    <x:row r="8" ht="23.850000381469727" hidden="0">
      <x:c r="A8" s="13"/>
      <x:c r="B8" s="13" t="s">
        <x:v>1056</x:v>
      </x:c>
      <x:c r="C8" s="13" t="s">
        <x:v>1063</x:v>
      </x:c>
      <x:c r="D8" s="14" t="s">
        <x:v>1058</x:v>
      </x:c>
      <x:c r="E8" s="15" t="s">
        <x:v>241</x:v>
      </x:c>
      <x:c r="F8" s="15"/>
      <x:c r="G8" s="15" t="s">
        <x:v>1064</x:v>
      </x:c>
    </x:row>
    <x:row r="9" ht="23.850000381469727" hidden="0">
      <x:c r="A9" s="13"/>
      <x:c r="B9" s="13" t="s">
        <x:v>1056</x:v>
      </x:c>
      <x:c r="C9" s="13" t="s">
        <x:v>1065</x:v>
      </x:c>
      <x:c r="D9" s="14" t="s">
        <x:v>1058</x:v>
      </x:c>
      <x:c r="E9" s="15" t="s">
        <x:v>1065</x:v>
      </x:c>
      <x:c r="F9" s="15"/>
      <x:c r="G9" s="15" t="s">
        <x:v>1066</x:v>
      </x:c>
    </x:row>
    <x:row r="10" ht="23.850000381469727" hidden="0">
      <x:c r="A10" s="13"/>
      <x:c r="B10" s="13" t="s">
        <x:v>1056</x:v>
      </x:c>
      <x:c r="C10" s="13" t="s">
        <x:v>1067</x:v>
      </x:c>
      <x:c r="D10" s="14" t="s">
        <x:v>1061</x:v>
      </x:c>
      <x:c r="E10" s="15" t="s">
        <x:v>1068</x:v>
      </x:c>
      <x:c r="F10" s="15"/>
      <x:c r="G10" s="15" t="s">
        <x:v>1069</x:v>
      </x:c>
    </x:row>
    <x:row r="11" ht="23.850000381469727" hidden="0">
      <x:c r="A11" s="13"/>
      <x:c r="B11" s="13" t="s">
        <x:v>1056</x:v>
      </x:c>
      <x:c r="C11" s="13" t="s">
        <x:v>1070</x:v>
      </x:c>
      <x:c r="D11" s="21" t="s">
        <x:v>1071</x:v>
      </x:c>
      <x:c r="E11" s="15" t="s">
        <x:v>1072</x:v>
      </x:c>
      <x:c r="F11" s="15" t="s">
        <x:v>1073</x:v>
      </x:c>
      <x:c r="G11" s="15"/>
    </x:row>
    <x:row r="12" ht="23.850000381469727" hidden="0">
      <x:c r="A12" s="13"/>
      <x:c r="B12" s="13" t="s">
        <x:v>1074</x:v>
      </x:c>
      <x:c r="C12" s="13" t="s">
        <x:v>1075</x:v>
      </x:c>
      <x:c r="D12" s="21" t="s">
        <x:v>1071</x:v>
      </x:c>
      <x:c r="E12" s="15" t="s">
        <x:v>1076</x:v>
      </x:c>
      <x:c r="F12" s="15" t="s">
        <x:v>1077</x:v>
      </x:c>
      <x:c r="G12" s="15"/>
    </x:row>
    <x:row r="13" ht="15" hidden="0">
      <x:c r="A13" s="13"/>
      <x:c r="B13" s="13" t="s">
        <x:v>1074</x:v>
      </x:c>
      <x:c r="C13" s="13" t="s">
        <x:v>1078</x:v>
      </x:c>
      <x:c r="D13" s="21" t="s">
        <x:v>1071</x:v>
      </x:c>
      <x:c r="E13" s="15" t="s">
        <x:v>1076</x:v>
      </x:c>
      <x:c r="F13" s="15" t="s">
        <x:v>1079</x:v>
      </x:c>
      <x:c r="G13" s="15"/>
    </x:row>
    <x:row r="14" ht="15" hidden="0">
      <x:c r="A14" s="13"/>
      <x:c r="B14" s="13" t="s">
        <x:v>1074</x:v>
      </x:c>
      <x:c r="C14" s="13" t="s">
        <x:v>1080</x:v>
      </x:c>
      <x:c r="D14" s="21" t="s">
        <x:v>1071</x:v>
      </x:c>
      <x:c r="E14" s="15" t="s">
        <x:v>1076</x:v>
      </x:c>
      <x:c r="F14" s="15" t="s">
        <x:v>1081</x:v>
      </x:c>
      <x:c r="G14" s="15"/>
    </x:row>
    <x:row r="15" ht="35.04999923706055" hidden="0">
      <x:c r="A15" s="13"/>
      <x:c r="B15" s="13" t="s">
        <x:v>1074</x:v>
      </x:c>
      <x:c r="C15" s="13" t="s">
        <x:v>1082</x:v>
      </x:c>
      <x:c r="D15" s="21" t="s">
        <x:v>1071</x:v>
      </x:c>
      <x:c r="E15" s="15" t="s">
        <x:v>1076</x:v>
      </x:c>
      <x:c r="F15" s="15" t="s">
        <x:v>1083</x:v>
      </x:c>
      <x:c r="G15" s="15"/>
    </x:row>
    <x:row r="16" ht="35.04999923706055" hidden="0">
      <x:c r="A16" s="13"/>
      <x:c r="B16" s="13" t="s">
        <x:v>1084</x:v>
      </x:c>
      <x:c r="C16" s="13" t="s">
        <x:v>1085</x:v>
      </x:c>
      <x:c r="D16" s="21" t="s">
        <x:v>1071</x:v>
      </x:c>
      <x:c r="E16" s="15" t="s">
        <x:v>1086</x:v>
      </x:c>
      <x:c r="F16" s="15" t="s">
        <x:v>1087</x:v>
      </x:c>
      <x:c r="G16" s="15"/>
    </x:row>
    <x:row r="17" ht="23.850000381469727" hidden="0">
      <x:c r="A17" s="13"/>
      <x:c r="B17" s="13" t="s">
        <x:v>1084</x:v>
      </x:c>
      <x:c r="C17" s="13" t="s">
        <x:v>1088</x:v>
      </x:c>
      <x:c r="D17" s="14" t="s">
        <x:v>1058</x:v>
      </x:c>
      <x:c r="E17" s="15" t="s">
        <x:v>1088</x:v>
      </x:c>
      <x:c r="F17" s="15"/>
      <x:c r="G17" s="15" t="s">
        <x:v>1089</x:v>
      </x:c>
    </x:row>
    <x:row r="18" ht="15" hidden="0">
      <x:c r="A18" s="13"/>
      <x:c r="B18" s="13" t="s">
        <x:v>1090</x:v>
      </x:c>
      <x:c r="C18" s="13" t="s">
        <x:v>1091</x:v>
      </x:c>
      <x:c r="D18" s="21" t="s">
        <x:v>1071</x:v>
      </x:c>
      <x:c r="E18" s="15" t="s">
        <x:v>1072</x:v>
      </x:c>
      <x:c r="F18" s="15" t="s">
        <x:v>1092</x:v>
      </x:c>
      <x:c r="G18" s="15"/>
    </x:row>
    <x:row r="19" ht="23.850000381469727" hidden="0">
      <x:c r="A19" s="13"/>
      <x:c r="B19" s="13" t="s">
        <x:v>1090</x:v>
      </x:c>
      <x:c r="C19" s="13" t="s">
        <x:v>1093</x:v>
      </x:c>
      <x:c r="D19" s="21" t="s">
        <x:v>1071</x:v>
      </x:c>
      <x:c r="E19" s="15" t="s">
        <x:v>1072</x:v>
      </x:c>
      <x:c r="F19" s="15" t="s">
        <x:v>1094</x:v>
      </x:c>
      <x:c r="G19" s="15"/>
    </x:row>
    <x:row r="20" ht="15" hidden="0">
      <x:c r="A20" s="13"/>
      <x:c r="B20" s="13" t="s">
        <x:v>1090</x:v>
      </x:c>
      <x:c r="C20" s="13" t="s">
        <x:v>1095</x:v>
      </x:c>
      <x:c r="D20" s="21" t="s">
        <x:v>1071</x:v>
      </x:c>
      <x:c r="E20" s="15" t="s">
        <x:v>1072</x:v>
      </x:c>
      <x:c r="F20" s="15" t="s">
        <x:v>1096</x:v>
      </x:c>
      <x:c r="G20" s="15"/>
    </x:row>
    <x:row r="21" ht="23.850000381469727" hidden="0">
      <x:c r="A21" s="13"/>
      <x:c r="B21" s="13" t="s">
        <x:v>1090</x:v>
      </x:c>
      <x:c r="C21" s="13" t="s">
        <x:v>1097</x:v>
      </x:c>
      <x:c r="D21" s="21" t="s">
        <x:v>1071</x:v>
      </x:c>
      <x:c r="E21" s="15" t="s">
        <x:v>1072</x:v>
      </x:c>
      <x:c r="F21" s="15" t="s">
        <x:v>1098</x:v>
      </x:c>
      <x:c r="G21" s="15"/>
    </x:row>
    <x:row r="22" ht="23.850000381469727" hidden="0">
      <x:c r="A22" s="13"/>
      <x:c r="B22" s="13" t="s">
        <x:v>1090</x:v>
      </x:c>
      <x:c r="C22" s="13" t="s">
        <x:v>1099</x:v>
      </x:c>
      <x:c r="D22" s="21" t="s">
        <x:v>1071</x:v>
      </x:c>
      <x:c r="E22" s="15" t="s">
        <x:v>1076</x:v>
      </x:c>
      <x:c r="F22" s="15" t="s">
        <x:v>1100</x:v>
      </x:c>
      <x:c r="G22" s="15"/>
    </x:row>
    <x:row r="23" ht="15" hidden="0" customHeight="1">
      <x:c r="A23" s="26" t="s">
        <x:v>233</x:v>
      </x:c>
      <x:c r="B23" s="27" t="s">
        <x:v>1101</x:v>
      </x:c>
      <x:c r="C23" s="27"/>
      <x:c r="D23" s="27"/>
      <x:c r="E23" s="27"/>
      <x:c r="F23" s="27"/>
      <x:c r="G23" s="27"/>
    </x:row>
    <x:row r="24" ht="23.850000381469727" hidden="0">
      <x:c r="A24" s="13"/>
      <x:c r="B24" s="13" t="s">
        <x:v>1102</x:v>
      </x:c>
      <x:c r="C24" s="13" t="s">
        <x:v>1103</x:v>
      </x:c>
      <x:c r="D24" s="21" t="s">
        <x:v>1071</x:v>
      </x:c>
      <x:c r="E24" s="15" t="s">
        <x:v>1104</x:v>
      </x:c>
      <x:c r="F24" s="15" t="s">
        <x:v>1105</x:v>
      </x:c>
      <x:c r="G24" s="15"/>
    </x:row>
    <x:row r="25" ht="35.04999923706055" hidden="0">
      <x:c r="A25" s="13"/>
      <x:c r="B25" s="13" t="s">
        <x:v>1102</x:v>
      </x:c>
      <x:c r="C25" s="13" t="s">
        <x:v>1106</x:v>
      </x:c>
      <x:c r="D25" s="21" t="s">
        <x:v>1071</x:v>
      </x:c>
      <x:c r="E25" s="15" t="s">
        <x:v>1104</x:v>
      </x:c>
      <x:c r="F25" s="15" t="s">
        <x:v>1107</x:v>
      </x:c>
      <x:c r="G25" s="15"/>
    </x:row>
    <x:row r="26" ht="46.25" hidden="0">
      <x:c r="A26" s="13"/>
      <x:c r="B26" s="13" t="s">
        <x:v>1102</x:v>
      </x:c>
      <x:c r="C26" s="13" t="s">
        <x:v>1108</x:v>
      </x:c>
      <x:c r="D26" s="13" t="s">
        <x:v>1109</x:v>
      </x:c>
      <x:c r="E26" s="15" t="s">
        <x:v>1110</x:v>
      </x:c>
      <x:c r="F26" s="15"/>
      <x:c r="G26" s="15" t="s">
        <x:v>1111</x:v>
      </x:c>
    </x:row>
    <x:row r="27" ht="23.850000381469727" hidden="0">
      <x:c r="A27" s="13"/>
      <x:c r="B27" s="13" t="s">
        <x:v>1112</x:v>
      </x:c>
      <x:c r="C27" s="13" t="s">
        <x:v>1113</x:v>
      </x:c>
      <x:c r="D27" s="14" t="s">
        <x:v>1061</x:v>
      </x:c>
      <x:c r="E27" s="15" t="s">
        <x:v>1114</x:v>
      </x:c>
      <x:c r="F27" s="15"/>
      <x:c r="G27" s="15" t="s">
        <x:v>1115</x:v>
      </x:c>
    </x:row>
    <x:row r="28" ht="23.850000381469727" hidden="0">
      <x:c r="A28" s="13"/>
      <x:c r="B28" s="13" t="s">
        <x:v>1112</x:v>
      </x:c>
      <x:c r="C28" s="13" t="s">
        <x:v>1116</x:v>
      </x:c>
      <x:c r="D28" s="13" t="s">
        <x:v>1109</x:v>
      </x:c>
      <x:c r="E28" s="15" t="s">
        <x:v>1117</x:v>
      </x:c>
      <x:c r="F28" s="15"/>
      <x:c r="G28" s="15" t="s">
        <x:v>1118</x:v>
      </x:c>
    </x:row>
    <x:row r="29" ht="23.850000381469727" hidden="0">
      <x:c r="A29" s="13"/>
      <x:c r="B29" s="13" t="s">
        <x:v>1112</x:v>
      </x:c>
      <x:c r="C29" s="13" t="s">
        <x:v>1119</x:v>
      </x:c>
      <x:c r="D29" s="21" t="s">
        <x:v>1071</x:v>
      </x:c>
      <x:c r="E29" s="15" t="s">
        <x:v>1120</x:v>
      </x:c>
      <x:c r="F29" s="15" t="s">
        <x:v>1121</x:v>
      </x:c>
      <x:c r="G29" s="15"/>
    </x:row>
    <x:row r="30" ht="23.850000381469727" hidden="0">
      <x:c r="A30" s="13"/>
      <x:c r="B30" s="13" t="s">
        <x:v>1112</x:v>
      </x:c>
      <x:c r="C30" s="13" t="s">
        <x:v>1122</x:v>
      </x:c>
      <x:c r="D30" s="21" t="s">
        <x:v>1071</x:v>
      </x:c>
      <x:c r="E30" s="15" t="s">
        <x:v>1120</x:v>
      </x:c>
      <x:c r="F30" s="15" t="s">
        <x:v>1123</x:v>
      </x:c>
      <x:c r="G30" s="15"/>
    </x:row>
    <x:row r="31" ht="46.25" hidden="0">
      <x:c r="A31" s="13"/>
      <x:c r="B31" s="13" t="s">
        <x:v>1124</x:v>
      </x:c>
      <x:c r="C31" s="13" t="s">
        <x:v>1125</x:v>
      </x:c>
      <x:c r="D31" s="22" t="s">
        <x:v>1126</x:v>
      </x:c>
      <x:c r="E31" s="15"/>
      <x:c r="F31" s="15" t="s">
        <x:v>1127</x:v>
      </x:c>
      <x:c r="G31" s="15"/>
    </x:row>
    <x:row r="32" ht="23.850000381469727" hidden="0">
      <x:c r="A32" s="13"/>
      <x:c r="B32" s="13" t="s">
        <x:v>1128</x:v>
      </x:c>
      <x:c r="C32" s="13" t="s">
        <x:v>1129</x:v>
      </x:c>
      <x:c r="D32" s="22" t="s">
        <x:v>1126</x:v>
      </x:c>
      <x:c r="E32" s="15"/>
      <x:c r="F32" s="15" t="s">
        <x:v>1130</x:v>
      </x:c>
      <x:c r="G32" s="15"/>
    </x:row>
    <x:row r="33" ht="35.04999923706055" hidden="0">
      <x:c r="A33" s="13"/>
      <x:c r="B33" s="13" t="s">
        <x:v>1131</x:v>
      </x:c>
      <x:c r="C33" s="13" t="s">
        <x:v>1132</x:v>
      </x:c>
      <x:c r="D33" s="22" t="s">
        <x:v>1126</x:v>
      </x:c>
      <x:c r="E33" s="15"/>
      <x:c r="F33" s="15" t="s">
        <x:v>1133</x:v>
      </x:c>
      <x:c r="G33" s="15"/>
    </x:row>
    <x:row r="34" ht="15" hidden="0" customHeight="1">
      <x:c r="A34" s="26" t="s">
        <x:v>247</x:v>
      </x:c>
      <x:c r="B34" s="27" t="s">
        <x:v>1134</x:v>
      </x:c>
      <x:c r="C34" s="27"/>
      <x:c r="D34" s="27"/>
      <x:c r="E34" s="27"/>
      <x:c r="F34" s="27"/>
      <x:c r="G34" s="27"/>
    </x:row>
    <x:row r="35" ht="15" hidden="0">
      <x:c r="A35" s="13"/>
      <x:c r="B35" s="13" t="s">
        <x:v>1135</x:v>
      </x:c>
      <x:c r="C35" s="13" t="s">
        <x:v>1136</x:v>
      </x:c>
      <x:c r="D35" s="14" t="s">
        <x:v>1058</x:v>
      </x:c>
      <x:c r="E35" s="15" t="s">
        <x:v>611</x:v>
      </x:c>
      <x:c r="F35" s="15"/>
      <x:c r="G35" s="15"/>
    </x:row>
    <x:row r="36" ht="23.850000381469727" hidden="0">
      <x:c r="A36" s="13"/>
      <x:c r="B36" s="13" t="s">
        <x:v>1135</x:v>
      </x:c>
      <x:c r="C36" s="13" t="s">
        <x:v>1137</x:v>
      </x:c>
      <x:c r="D36" s="14" t="s">
        <x:v>1058</x:v>
      </x:c>
      <x:c r="E36" s="15" t="s">
        <x:v>1138</x:v>
      </x:c>
      <x:c r="F36" s="15"/>
      <x:c r="G36" s="15" t="s">
        <x:v>1139</x:v>
      </x:c>
    </x:row>
    <x:row r="37" ht="35.04999923706055" hidden="0">
      <x:c r="A37" s="13"/>
      <x:c r="B37" s="13" t="s">
        <x:v>1135</x:v>
      </x:c>
      <x:c r="C37" s="13" t="s">
        <x:v>1140</x:v>
      </x:c>
      <x:c r="D37" s="21" t="s">
        <x:v>1071</x:v>
      </x:c>
      <x:c r="E37" s="15" t="s">
        <x:v>1141</x:v>
      </x:c>
      <x:c r="F37" s="15" t="s">
        <x:v>1142</x:v>
      </x:c>
      <x:c r="G37" s="15"/>
    </x:row>
    <x:row r="38" ht="15" hidden="0">
      <x:c r="A38" s="13"/>
      <x:c r="B38" s="13" t="s">
        <x:v>1143</x:v>
      </x:c>
      <x:c r="C38" s="13" t="s">
        <x:v>1144</x:v>
      </x:c>
      <x:c r="D38" s="14" t="s">
        <x:v>1058</x:v>
      </x:c>
      <x:c r="E38" s="15" t="s">
        <x:v>1144</x:v>
      </x:c>
      <x:c r="F38" s="15"/>
      <x:c r="G38" s="15"/>
    </x:row>
    <x:row r="39" ht="15" hidden="0">
      <x:c r="A39" s="13"/>
      <x:c r="B39" s="13" t="s">
        <x:v>1143</x:v>
      </x:c>
      <x:c r="C39" s="13" t="s">
        <x:v>1145</x:v>
      </x:c>
      <x:c r="D39" s="14" t="s">
        <x:v>1058</x:v>
      </x:c>
      <x:c r="E39" s="15" t="s">
        <x:v>1146</x:v>
      </x:c>
      <x:c r="F39" s="15"/>
      <x:c r="G39" s="15"/>
    </x:row>
    <x:row r="40" ht="15" hidden="0">
      <x:c r="A40" s="13"/>
      <x:c r="B40" s="13" t="s">
        <x:v>1143</x:v>
      </x:c>
      <x:c r="C40" s="13" t="s">
        <x:v>1147</x:v>
      </x:c>
      <x:c r="D40" s="14" t="s">
        <x:v>1058</x:v>
      </x:c>
      <x:c r="E40" s="15" t="s">
        <x:v>1148</x:v>
      </x:c>
      <x:c r="F40" s="15"/>
      <x:c r="G40" s="15" t="s">
        <x:v>1149</x:v>
      </x:c>
    </x:row>
    <x:row r="41" ht="15" hidden="0">
      <x:c r="A41" s="13"/>
      <x:c r="B41" s="13" t="s">
        <x:v>1143</x:v>
      </x:c>
      <x:c r="C41" s="13" t="s">
        <x:v>269</x:v>
      </x:c>
      <x:c r="D41" s="14" t="s">
        <x:v>1058</x:v>
      </x:c>
      <x:c r="E41" s="15" t="s">
        <x:v>358</x:v>
      </x:c>
      <x:c r="F41" s="15"/>
      <x:c r="G41" s="15"/>
    </x:row>
    <x:row r="42" ht="46.25" hidden="0">
      <x:c r="A42" s="13"/>
      <x:c r="B42" s="13" t="s">
        <x:v>1150</x:v>
      </x:c>
      <x:c r="C42" s="13" t="s">
        <x:v>1151</x:v>
      </x:c>
      <x:c r="D42" s="21" t="s">
        <x:v>1071</x:v>
      </x:c>
      <x:c r="E42" s="15" t="s">
        <x:v>1152</x:v>
      </x:c>
      <x:c r="F42" s="15" t="s">
        <x:v>1153</x:v>
      </x:c>
      <x:c r="G42" s="15"/>
    </x:row>
    <x:row r="43" ht="15" hidden="0">
      <x:c r="A43" s="13"/>
      <x:c r="B43" s="13" t="s">
        <x:v>1150</x:v>
      </x:c>
      <x:c r="C43" s="13" t="s">
        <x:v>1154</x:v>
      </x:c>
      <x:c r="D43" s="21" t="s">
        <x:v>1071</x:v>
      </x:c>
      <x:c r="E43" s="15" t="s">
        <x:v>1152</x:v>
      </x:c>
      <x:c r="F43" s="15" t="s">
        <x:v>1155</x:v>
      </x:c>
      <x:c r="G43" s="15"/>
    </x:row>
    <x:row r="44" ht="15" hidden="0">
      <x:c r="A44" s="13"/>
      <x:c r="B44" s="13" t="s">
        <x:v>1150</x:v>
      </x:c>
      <x:c r="C44" s="13" t="s">
        <x:v>1156</x:v>
      </x:c>
      <x:c r="D44" s="21" t="s">
        <x:v>1071</x:v>
      </x:c>
      <x:c r="E44" s="15" t="s">
        <x:v>1152</x:v>
      </x:c>
      <x:c r="F44" s="15" t="s">
        <x:v>1155</x:v>
      </x:c>
      <x:c r="G44" s="15"/>
    </x:row>
    <x:row r="45" ht="35.04999923706055" hidden="0">
      <x:c r="A45" s="13"/>
      <x:c r="B45" s="13" t="s">
        <x:v>1150</x:v>
      </x:c>
      <x:c r="C45" s="13" t="s">
        <x:v>1157</x:v>
      </x:c>
      <x:c r="D45" s="21" t="s">
        <x:v>1071</x:v>
      </x:c>
      <x:c r="E45" s="15" t="s">
        <x:v>1158</x:v>
      </x:c>
      <x:c r="F45" s="15" t="s">
        <x:v>1159</x:v>
      </x:c>
      <x:c r="G45" s="15"/>
    </x:row>
    <x:row r="46" ht="15" hidden="0">
      <x:c r="A46" s="13"/>
      <x:c r="B46" s="13" t="s">
        <x:v>1160</x:v>
      </x:c>
      <x:c r="C46" s="13" t="s">
        <x:v>1161</x:v>
      </x:c>
      <x:c r="D46" s="21" t="s">
        <x:v>1071</x:v>
      </x:c>
      <x:c r="E46" s="15" t="s">
        <x:v>1162</x:v>
      </x:c>
      <x:c r="F46" s="15" t="s">
        <x:v>1163</x:v>
      </x:c>
      <x:c r="G46" s="15"/>
    </x:row>
    <x:row r="47" ht="15" hidden="0">
      <x:c r="A47" s="13"/>
      <x:c r="B47" s="13" t="s">
        <x:v>1160</x:v>
      </x:c>
      <x:c r="C47" s="13" t="s">
        <x:v>1164</x:v>
      </x:c>
      <x:c r="D47" s="21" t="s">
        <x:v>1071</x:v>
      </x:c>
      <x:c r="E47" s="15" t="s">
        <x:v>1162</x:v>
      </x:c>
      <x:c r="F47" s="15" t="s">
        <x:v>1165</x:v>
      </x:c>
      <x:c r="G47" s="15"/>
    </x:row>
    <x:row r="48" ht="15" hidden="0">
      <x:c r="A48" s="13"/>
      <x:c r="B48" s="13" t="s">
        <x:v>1160</x:v>
      </x:c>
      <x:c r="C48" s="13" t="s">
        <x:v>1166</x:v>
      </x:c>
      <x:c r="D48" s="21" t="s">
        <x:v>1071</x:v>
      </x:c>
      <x:c r="E48" s="15" t="s">
        <x:v>1162</x:v>
      </x:c>
      <x:c r="F48" s="15" t="s">
        <x:v>1167</x:v>
      </x:c>
      <x:c r="G48" s="15"/>
    </x:row>
    <x:row r="49" ht="15" hidden="0">
      <x:c r="A49" s="13"/>
      <x:c r="B49" s="13" t="s">
        <x:v>1160</x:v>
      </x:c>
      <x:c r="C49" s="13" t="s">
        <x:v>1168</x:v>
      </x:c>
      <x:c r="D49" s="21" t="s">
        <x:v>1071</x:v>
      </x:c>
      <x:c r="E49" s="15" t="s">
        <x:v>1162</x:v>
      </x:c>
      <x:c r="F49" s="15" t="s">
        <x:v>1169</x:v>
      </x:c>
      <x:c r="G49" s="15"/>
    </x:row>
    <x:row r="50" ht="15" hidden="0">
      <x:c r="A50" s="13"/>
      <x:c r="B50" s="13" t="s">
        <x:v>1170</x:v>
      </x:c>
      <x:c r="C50" s="13" t="s">
        <x:v>1171</x:v>
      </x:c>
      <x:c r="D50" s="21" t="s">
        <x:v>1071</x:v>
      </x:c>
      <x:c r="E50" s="15" t="s">
        <x:v>1162</x:v>
      </x:c>
      <x:c r="F50" s="15" t="s">
        <x:v>1172</x:v>
      </x:c>
      <x:c r="G50" s="15"/>
    </x:row>
    <x:row r="51" ht="15" hidden="0">
      <x:c r="A51" s="13"/>
      <x:c r="B51" s="13" t="s">
        <x:v>1170</x:v>
      </x:c>
      <x:c r="C51" s="13" t="s">
        <x:v>1173</x:v>
      </x:c>
      <x:c r="D51" s="21" t="s">
        <x:v>1071</x:v>
      </x:c>
      <x:c r="E51" s="15" t="s">
        <x:v>1162</x:v>
      </x:c>
      <x:c r="F51" s="15" t="s">
        <x:v>1174</x:v>
      </x:c>
      <x:c r="G51" s="15"/>
    </x:row>
    <x:row r="52" ht="15" hidden="0">
      <x:c r="A52" s="13"/>
      <x:c r="B52" s="13" t="s">
        <x:v>1170</x:v>
      </x:c>
      <x:c r="C52" s="13" t="s">
        <x:v>444</x:v>
      </x:c>
      <x:c r="D52" s="21" t="s">
        <x:v>1071</x:v>
      </x:c>
      <x:c r="E52" s="15" t="s">
        <x:v>1162</x:v>
      </x:c>
      <x:c r="F52" s="15" t="s">
        <x:v>1175</x:v>
      </x:c>
      <x:c r="G52" s="15"/>
    </x:row>
    <x:row r="53" ht="23.850000381469727" hidden="0">
      <x:c r="A53" s="13"/>
      <x:c r="B53" s="13" t="s">
        <x:v>1170</x:v>
      </x:c>
      <x:c r="C53" s="13" t="s">
        <x:v>1085</x:v>
      </x:c>
      <x:c r="D53" s="21" t="s">
        <x:v>1071</x:v>
      </x:c>
      <x:c r="E53" s="15" t="s">
        <x:v>1162</x:v>
      </x:c>
      <x:c r="F53" s="15" t="s">
        <x:v>1176</x:v>
      </x:c>
      <x:c r="G53" s="15"/>
    </x:row>
    <x:row r="54" ht="15" hidden="0">
      <x:c r="A54" s="13"/>
      <x:c r="B54" s="13" t="s">
        <x:v>1170</x:v>
      </x:c>
      <x:c r="C54" s="13" t="s">
        <x:v>1177</x:v>
      </x:c>
      <x:c r="D54" s="21" t="s">
        <x:v>1071</x:v>
      </x:c>
      <x:c r="E54" s="15" t="s">
        <x:v>1162</x:v>
      </x:c>
      <x:c r="F54" s="15" t="s">
        <x:v>1178</x:v>
      </x:c>
      <x:c r="G54" s="15"/>
    </x:row>
    <x:row r="55" ht="35.04999923706055" hidden="0">
      <x:c r="A55" s="13"/>
      <x:c r="B55" s="13" t="s">
        <x:v>1179</x:v>
      </x:c>
      <x:c r="C55" s="13" t="s">
        <x:v>1180</x:v>
      </x:c>
      <x:c r="D55" s="13" t="s">
        <x:v>211</x:v>
      </x:c>
      <x:c r="E55" s="15" t="s">
        <x:v>1181</x:v>
      </x:c>
      <x:c r="F55" s="15"/>
      <x:c r="G55" s="15" t="s">
        <x:v>1182</x:v>
      </x:c>
    </x:row>
    <x:row r="56" ht="23.850000381469727" hidden="0">
      <x:c r="A56" s="13"/>
      <x:c r="B56" s="13" t="s">
        <x:v>1183</x:v>
      </x:c>
      <x:c r="C56" s="13" t="s">
        <x:v>1184</x:v>
      </x:c>
      <x:c r="D56" s="13" t="s">
        <x:v>1109</x:v>
      </x:c>
      <x:c r="E56" s="15" t="s">
        <x:v>1185</x:v>
      </x:c>
      <x:c r="F56" s="15"/>
      <x:c r="G56" s="15" t="s">
        <x:v>1186</x:v>
      </x:c>
    </x:row>
    <x:row r="57" ht="15" hidden="0">
      <x:c r="A57" s="13"/>
      <x:c r="B57" s="13" t="s">
        <x:v>1187</x:v>
      </x:c>
      <x:c r="C57" s="13" t="s">
        <x:v>301</x:v>
      </x:c>
      <x:c r="D57" s="13" t="s">
        <x:v>211</x:v>
      </x:c>
      <x:c r="E57" s="15" t="s">
        <x:v>1188</x:v>
      </x:c>
      <x:c r="F57" s="15"/>
      <x:c r="G57" s="15"/>
    </x:row>
    <x:row r="58" ht="23.850000381469727" hidden="0">
      <x:c r="A58" s="13"/>
      <x:c r="B58" s="13" t="s">
        <x:v>1187</x:v>
      </x:c>
      <x:c r="C58" s="13" t="s">
        <x:v>1189</x:v>
      </x:c>
      <x:c r="D58" s="13" t="s">
        <x:v>1109</x:v>
      </x:c>
      <x:c r="E58" s="15" t="s">
        <x:v>1190</x:v>
      </x:c>
      <x:c r="F58" s="15"/>
      <x:c r="G58" s="15"/>
    </x:row>
    <x:row r="59" ht="15" hidden="0">
      <x:c r="A59" s="13"/>
      <x:c r="B59" s="13" t="s">
        <x:v>1187</x:v>
      </x:c>
      <x:c r="C59" s="13" t="s">
        <x:v>1191</x:v>
      </x:c>
      <x:c r="D59" s="14" t="s">
        <x:v>1058</x:v>
      </x:c>
      <x:c r="E59" s="15" t="s">
        <x:v>277</x:v>
      </x:c>
      <x:c r="F59" s="15"/>
      <x:c r="G59" s="15"/>
    </x:row>
    <x:row r="60" ht="23.850000381469727" hidden="0">
      <x:c r="A60" s="13"/>
      <x:c r="B60" s="13" t="s">
        <x:v>1187</x:v>
      </x:c>
      <x:c r="C60" s="13" t="s">
        <x:v>1192</x:v>
      </x:c>
      <x:c r="D60" s="13" t="s">
        <x:v>1109</x:v>
      </x:c>
      <x:c r="E60" s="15" t="s">
        <x:v>1193</x:v>
      </x:c>
      <x:c r="F60" s="15"/>
      <x:c r="G60" s="15"/>
    </x:row>
    <x:row r="61" ht="23.850000381469727" hidden="0">
      <x:c r="A61" s="13"/>
      <x:c r="B61" s="13" t="s">
        <x:v>1194</x:v>
      </x:c>
      <x:c r="C61" s="13" t="s">
        <x:v>1195</x:v>
      </x:c>
      <x:c r="D61" s="14" t="s">
        <x:v>1058</x:v>
      </x:c>
      <x:c r="E61" s="15" t="s">
        <x:v>1196</x:v>
      </x:c>
      <x:c r="F61" s="15"/>
      <x:c r="G61" s="15" t="s">
        <x:v>1197</x:v>
      </x:c>
    </x:row>
    <x:row r="62" ht="15" hidden="0">
      <x:c r="A62" s="13"/>
      <x:c r="B62" s="13" t="s">
        <x:v>1194</x:v>
      </x:c>
      <x:c r="C62" s="13" t="s">
        <x:v>1198</x:v>
      </x:c>
      <x:c r="D62" s="14" t="s">
        <x:v>1058</x:v>
      </x:c>
      <x:c r="E62" s="15" t="s">
        <x:v>1196</x:v>
      </x:c>
      <x:c r="F62" s="15"/>
      <x:c r="G62" s="15"/>
    </x:row>
    <x:row r="63" ht="15" hidden="0">
      <x:c r="A63" s="13"/>
      <x:c r="B63" s="13" t="s">
        <x:v>1194</x:v>
      </x:c>
      <x:c r="C63" s="13" t="s">
        <x:v>1199</x:v>
      </x:c>
      <x:c r="D63" s="14" t="s">
        <x:v>1058</x:v>
      </x:c>
      <x:c r="E63" s="15" t="s">
        <x:v>1196</x:v>
      </x:c>
      <x:c r="F63" s="15"/>
      <x:c r="G63" s="15"/>
    </x:row>
    <x:row r="64" ht="23.850000381469727" hidden="0">
      <x:c r="A64" s="13"/>
      <x:c r="B64" s="13" t="s">
        <x:v>1194</x:v>
      </x:c>
      <x:c r="C64" s="13" t="s">
        <x:v>1140</x:v>
      </x:c>
      <x:c r="D64" s="21" t="s">
        <x:v>1071</x:v>
      </x:c>
      <x:c r="E64" s="15" t="s">
        <x:v>1141</x:v>
      </x:c>
      <x:c r="F64" s="15" t="s">
        <x:v>1200</x:v>
      </x:c>
      <x:c r="G64" s="15"/>
    </x:row>
    <x:row r="65" ht="15" hidden="0">
      <x:c r="A65" s="13"/>
      <x:c r="B65" s="13" t="s">
        <x:v>1194</x:v>
      </x:c>
      <x:c r="C65" s="13" t="s">
        <x:v>1201</x:v>
      </x:c>
      <x:c r="D65" s="14" t="s">
        <x:v>1058</x:v>
      </x:c>
      <x:c r="E65" s="15" t="s">
        <x:v>1202</x:v>
      </x:c>
      <x:c r="F65" s="15"/>
      <x:c r="G65" s="15" t="s">
        <x:v>1203</x:v>
      </x:c>
    </x:row>
    <x:row r="66" ht="15" hidden="0" customHeight="1">
      <x:c r="A66" s="26" t="s">
        <x:v>1204</x:v>
      </x:c>
      <x:c r="B66" s="27" t="s">
        <x:v>1205</x:v>
      </x:c>
      <x:c r="C66" s="27"/>
      <x:c r="D66" s="27"/>
      <x:c r="E66" s="27"/>
      <x:c r="F66" s="27"/>
      <x:c r="G66" s="27"/>
    </x:row>
    <x:row r="67" ht="23.850000381469727" hidden="0">
      <x:c r="A67" s="13"/>
      <x:c r="B67" s="13" t="s">
        <x:v>1206</x:v>
      </x:c>
      <x:c r="C67" s="13" t="s">
        <x:v>1207</x:v>
      </x:c>
      <x:c r="D67" s="14" t="s">
        <x:v>1058</x:v>
      </x:c>
      <x:c r="E67" s="15" t="s">
        <x:v>1208</x:v>
      </x:c>
      <x:c r="F67" s="15"/>
      <x:c r="G67" s="15" t="s">
        <x:v>1209</x:v>
      </x:c>
    </x:row>
    <x:row r="68" ht="23.850000381469727" hidden="0">
      <x:c r="A68" s="13"/>
      <x:c r="B68" s="13" t="s">
        <x:v>1206</x:v>
      </x:c>
      <x:c r="C68" s="13" t="s">
        <x:v>1210</x:v>
      </x:c>
      <x:c r="D68" s="14" t="s">
        <x:v>1058</x:v>
      </x:c>
      <x:c r="E68" s="15" t="s">
        <x:v>611</x:v>
      </x:c>
      <x:c r="F68" s="15"/>
      <x:c r="G68" s="15" t="s">
        <x:v>1211</x:v>
      </x:c>
    </x:row>
    <x:row r="69" ht="23.850000381469727" hidden="0">
      <x:c r="A69" s="13"/>
      <x:c r="B69" s="13" t="s">
        <x:v>1206</x:v>
      </x:c>
      <x:c r="C69" s="13" t="s">
        <x:v>1212</x:v>
      </x:c>
      <x:c r="D69" s="13" t="s">
        <x:v>211</x:v>
      </x:c>
      <x:c r="E69" s="15" t="s">
        <x:v>1213</x:v>
      </x:c>
      <x:c r="F69" s="15"/>
      <x:c r="G69" s="15" t="s">
        <x:v>1214</x:v>
      </x:c>
    </x:row>
    <x:row r="70" ht="15" hidden="0">
      <x:c r="A70" s="13"/>
      <x:c r="B70" s="13" t="s">
        <x:v>1206</x:v>
      </x:c>
      <x:c r="C70" s="13" t="s">
        <x:v>1215</x:v>
      </x:c>
      <x:c r="D70" s="14" t="s">
        <x:v>1058</x:v>
      </x:c>
      <x:c r="E70" s="15" t="s">
        <x:v>1216</x:v>
      </x:c>
      <x:c r="F70" s="15"/>
      <x:c r="G70" s="15"/>
    </x:row>
    <x:row r="71" ht="15" hidden="0">
      <x:c r="A71" s="13"/>
      <x:c r="B71" s="13" t="s">
        <x:v>1206</x:v>
      </x:c>
      <x:c r="C71" s="13" t="s">
        <x:v>1217</x:v>
      </x:c>
      <x:c r="D71" s="14" t="s">
        <x:v>1058</x:v>
      </x:c>
      <x:c r="E71" s="15" t="s">
        <x:v>487</x:v>
      </x:c>
      <x:c r="F71" s="15"/>
      <x:c r="G71" s="15"/>
    </x:row>
    <x:row r="72" ht="35.04999923706055" hidden="0">
      <x:c r="A72" s="13"/>
      <x:c r="B72" s="13" t="s">
        <x:v>1206</x:v>
      </x:c>
      <x:c r="C72" s="13" t="s">
        <x:v>1218</x:v>
      </x:c>
      <x:c r="D72" s="13" t="s">
        <x:v>211</x:v>
      </x:c>
      <x:c r="E72" s="15" t="s">
        <x:v>1219</x:v>
      </x:c>
      <x:c r="F72" s="15"/>
      <x:c r="G72" s="15" t="s">
        <x:v>1220</x:v>
      </x:c>
    </x:row>
    <x:row r="73" ht="23.850000381469727" hidden="0">
      <x:c r="A73" s="13"/>
      <x:c r="B73" s="13" t="s">
        <x:v>1206</x:v>
      </x:c>
      <x:c r="C73" s="13" t="s">
        <x:v>1221</x:v>
      </x:c>
      <x:c r="D73" s="14" t="s">
        <x:v>1058</x:v>
      </x:c>
      <x:c r="E73" s="15" t="s">
        <x:v>1222</x:v>
      </x:c>
      <x:c r="F73" s="15"/>
      <x:c r="G73" s="15" t="s">
        <x:v>1223</x:v>
      </x:c>
    </x:row>
    <x:row r="74" ht="35.04999923706055" hidden="0">
      <x:c r="A74" s="13"/>
      <x:c r="B74" s="13" t="s">
        <x:v>1206</x:v>
      </x:c>
      <x:c r="C74" s="13" t="s">
        <x:v>1224</x:v>
      </x:c>
      <x:c r="D74" s="14" t="s">
        <x:v>1058</x:v>
      </x:c>
      <x:c r="E74" s="15" t="s">
        <x:v>1208</x:v>
      </x:c>
      <x:c r="F74" s="15"/>
      <x:c r="G74" s="15" t="s">
        <x:v>1225</x:v>
      </x:c>
    </x:row>
    <x:row r="75" ht="15" hidden="0">
      <x:c r="A75" s="13"/>
      <x:c r="B75" s="13" t="s">
        <x:v>1226</x:v>
      </x:c>
      <x:c r="C75" s="13" t="s">
        <x:v>1227</x:v>
      </x:c>
      <x:c r="D75" s="21" t="s">
        <x:v>1071</x:v>
      </x:c>
      <x:c r="E75" s="15" t="s">
        <x:v>1228</x:v>
      </x:c>
      <x:c r="F75" s="15" t="s">
        <x:v>1229</x:v>
      </x:c>
      <x:c r="G75" s="15"/>
    </x:row>
    <x:row r="76" ht="15" hidden="0">
      <x:c r="A76" s="13"/>
      <x:c r="B76" s="13" t="s">
        <x:v>1226</x:v>
      </x:c>
      <x:c r="C76" s="13" t="s">
        <x:v>1230</x:v>
      </x:c>
      <x:c r="D76" s="21" t="s">
        <x:v>1071</x:v>
      </x:c>
      <x:c r="E76" s="15" t="s">
        <x:v>1228</x:v>
      </x:c>
      <x:c r="F76" s="15" t="s">
        <x:v>1231</x:v>
      </x:c>
      <x:c r="G76" s="15"/>
    </x:row>
    <x:row r="77" ht="23.850000381469727" hidden="0">
      <x:c r="A77" s="13"/>
      <x:c r="B77" s="13" t="s">
        <x:v>1226</x:v>
      </x:c>
      <x:c r="C77" s="13" t="s">
        <x:v>1232</x:v>
      </x:c>
      <x:c r="D77" s="21" t="s">
        <x:v>1071</x:v>
      </x:c>
      <x:c r="E77" s="15" t="s">
        <x:v>1228</x:v>
      </x:c>
      <x:c r="F77" s="15" t="s">
        <x:v>1233</x:v>
      </x:c>
      <x:c r="G77" s="15"/>
    </x:row>
    <x:row r="78" ht="35.04999923706055" hidden="0">
      <x:c r="A78" s="13"/>
      <x:c r="B78" s="13" t="s">
        <x:v>1226</x:v>
      </x:c>
      <x:c r="C78" s="13" t="s">
        <x:v>1234</x:v>
      </x:c>
      <x:c r="D78" s="21" t="s">
        <x:v>1071</x:v>
      </x:c>
      <x:c r="E78" s="15" t="s">
        <x:v>1228</x:v>
      </x:c>
      <x:c r="F78" s="15" t="s">
        <x:v>1235</x:v>
      </x:c>
      <x:c r="G78" s="15"/>
    </x:row>
    <x:row r="79" ht="15" hidden="0">
      <x:c r="A79" s="13"/>
      <x:c r="B79" s="13" t="s">
        <x:v>1226</x:v>
      </x:c>
      <x:c r="C79" s="13" t="s">
        <x:v>1236</x:v>
      </x:c>
      <x:c r="D79" s="21" t="s">
        <x:v>1071</x:v>
      </x:c>
      <x:c r="E79" s="15" t="s">
        <x:v>1228</x:v>
      </x:c>
      <x:c r="F79" s="15" t="s">
        <x:v>1237</x:v>
      </x:c>
      <x:c r="G79" s="15"/>
    </x:row>
    <x:row r="80" ht="23.850000381469727" hidden="0">
      <x:c r="A80" s="13"/>
      <x:c r="B80" s="13" t="s">
        <x:v>1226</x:v>
      </x:c>
      <x:c r="C80" s="13" t="s">
        <x:v>1238</x:v>
      </x:c>
      <x:c r="D80" s="21" t="s">
        <x:v>1071</x:v>
      </x:c>
      <x:c r="E80" s="15" t="s">
        <x:v>1228</x:v>
      </x:c>
      <x:c r="F80" s="15" t="s">
        <x:v>1239</x:v>
      </x:c>
      <x:c r="G80" s="15"/>
    </x:row>
    <x:row r="81" ht="23.850000381469727" hidden="0">
      <x:c r="A81" s="13"/>
      <x:c r="B81" s="13" t="s">
        <x:v>1226</x:v>
      </x:c>
      <x:c r="C81" s="13" t="s">
        <x:v>1240</x:v>
      </x:c>
      <x:c r="D81" s="21" t="s">
        <x:v>1071</x:v>
      </x:c>
      <x:c r="E81" s="15" t="s">
        <x:v>1228</x:v>
      </x:c>
      <x:c r="F81" s="15" t="s">
        <x:v>1241</x:v>
      </x:c>
      <x:c r="G81" s="15"/>
    </x:row>
    <x:row r="82" ht="15" hidden="0">
      <x:c r="A82" s="13"/>
      <x:c r="B82" s="13" t="s">
        <x:v>1226</x:v>
      </x:c>
      <x:c r="C82" s="13" t="s">
        <x:v>1242</x:v>
      </x:c>
      <x:c r="D82" s="21" t="s">
        <x:v>1071</x:v>
      </x:c>
      <x:c r="E82" s="15" t="s">
        <x:v>1228</x:v>
      </x:c>
      <x:c r="F82" s="15" t="s">
        <x:v>1243</x:v>
      </x:c>
      <x:c r="G82" s="15"/>
    </x:row>
    <x:row r="83" ht="15" hidden="0">
      <x:c r="A83" s="13"/>
      <x:c r="B83" s="13" t="s">
        <x:v>1226</x:v>
      </x:c>
      <x:c r="C83" s="13" t="s">
        <x:v>1244</x:v>
      </x:c>
      <x:c r="D83" s="14" t="s">
        <x:v>1058</x:v>
      </x:c>
      <x:c r="E83" s="15" t="s">
        <x:v>1222</x:v>
      </x:c>
      <x:c r="F83" s="15"/>
      <x:c r="G83" s="15"/>
    </x:row>
    <x:row r="84" ht="35.04999923706055" hidden="0">
      <x:c r="A84" s="13"/>
      <x:c r="B84" s="13" t="s">
        <x:v>1226</x:v>
      </x:c>
      <x:c r="C84" s="13" t="s">
        <x:v>1245</x:v>
      </x:c>
      <x:c r="D84" s="13" t="s">
        <x:v>1109</x:v>
      </x:c>
      <x:c r="E84" s="15" t="s">
        <x:v>1246</x:v>
      </x:c>
      <x:c r="F84" s="15"/>
      <x:c r="G84" s="15" t="s">
        <x:v>1247</x:v>
      </x:c>
    </x:row>
    <x:row r="87" ht="15" hidden="0" customHeight="1">
      <x:c r="A87" s="3" t="s">
        <x:v>1248</x:v>
      </x:c>
      <x:c r="B87" s="10" t="s">
        <x:v>1249</x:v>
      </x:c>
      <x:c r="C87" s="10"/>
      <x:c r="D87" s="10"/>
      <x:c r="E87" s="10"/>
      <x:c r="F87" s="10"/>
      <x:c r="G87" s="10"/>
    </x:row>
    <x:row r="88" ht="15" hidden="0">
      <x:c r="A88" s="7" t="s">
        <x:v>1250</x:v>
      </x:c>
      <x:c r="B88" s="7" t="s">
        <x:v>1251</x:v>
      </x:c>
      <x:c r="C88" s="7" t="s">
        <x:v>447</x:v>
      </x:c>
      <x:c r="D88" s="7"/>
      <x:c r="E88" s="7" t="s">
        <x:v>1252</x:v>
      </x:c>
      <x:c r="F88" s="7" t="s">
        <x:v>853</x:v>
      </x:c>
      <x:c r="G88" s="7" t="s">
        <x:v>1253</x:v>
      </x:c>
    </x:row>
    <x:row r="89" ht="15" hidden="0">
      <x:c r="A89" s="13" t="s">
        <x:v>1254</x:v>
      </x:c>
      <x:c r="B89" s="13" t="s">
        <x:v>1255</x:v>
      </x:c>
      <x:c r="C89" s="13" t="s">
        <x:v>1256</x:v>
      </x:c>
      <x:c r="D89" s="13"/>
      <x:c r="E89" s="15" t="s">
        <x:v>1257</x:v>
      </x:c>
      <x:c r="F89" s="15" t="s">
        <x:v>1258</x:v>
      </x:c>
      <x:c r="G89" s="15" t="s">
        <x:v>1259</x:v>
      </x:c>
    </x:row>
    <x:row r="90" ht="23.850000381469727" hidden="0">
      <x:c r="A90" s="17" t="s">
        <x:v>1260</x:v>
      </x:c>
      <x:c r="B90" s="17" t="s">
        <x:v>1261</x:v>
      </x:c>
      <x:c r="C90" s="17" t="s">
        <x:v>1256</x:v>
      </x:c>
      <x:c r="D90" s="17"/>
      <x:c r="E90" s="19" t="s">
        <x:v>1262</x:v>
      </x:c>
      <x:c r="F90" s="19" t="s">
        <x:v>1263</x:v>
      </x:c>
      <x:c r="G90" s="19" t="s">
        <x:v>1259</x:v>
      </x:c>
    </x:row>
    <x:row r="91" ht="23.850000381469727" hidden="0">
      <x:c r="A91" s="13" t="s">
        <x:v>1264</x:v>
      </x:c>
      <x:c r="B91" s="13" t="s">
        <x:v>1265</x:v>
      </x:c>
      <x:c r="C91" s="13" t="s">
        <x:v>1256</x:v>
      </x:c>
      <x:c r="D91" s="13"/>
      <x:c r="E91" s="15" t="s">
        <x:v>1266</x:v>
      </x:c>
      <x:c r="F91" s="15" t="s">
        <x:v>1267</x:v>
      </x:c>
      <x:c r="G91" s="15" t="s">
        <x:v>1259</x:v>
      </x:c>
    </x:row>
    <x:row r="92" ht="23.850000381469727" hidden="0">
      <x:c r="A92" s="17" t="s">
        <x:v>1268</x:v>
      </x:c>
      <x:c r="B92" s="17" t="s">
        <x:v>1269</x:v>
      </x:c>
      <x:c r="C92" s="17" t="s">
        <x:v>1256</x:v>
      </x:c>
      <x:c r="D92" s="17"/>
      <x:c r="E92" s="19" t="s">
        <x:v>1270</x:v>
      </x:c>
      <x:c r="F92" s="19" t="s">
        <x:v>1271</x:v>
      </x:c>
      <x:c r="G92" s="19" t="s">
        <x:v>1272</x:v>
      </x:c>
    </x:row>
    <x:row r="93" ht="23.850000381469727" hidden="0">
      <x:c r="A93" s="13" t="s">
        <x:v>1273</x:v>
      </x:c>
      <x:c r="B93" s="13" t="s">
        <x:v>1274</x:v>
      </x:c>
      <x:c r="C93" s="13" t="s">
        <x:v>1275</x:v>
      </x:c>
      <x:c r="D93" s="13"/>
      <x:c r="E93" s="15" t="s">
        <x:v>1276</x:v>
      </x:c>
      <x:c r="F93" s="15" t="s">
        <x:v>1277</x:v>
      </x:c>
      <x:c r="G93" s="15" t="s">
        <x:v>1259</x:v>
      </x:c>
    </x:row>
    <x:row r="94" ht="15" hidden="0">
      <x:c r="A94" s="17" t="s">
        <x:v>1278</x:v>
      </x:c>
      <x:c r="B94" s="17" t="s">
        <x:v>1279</x:v>
      </x:c>
      <x:c r="C94" s="17" t="s">
        <x:v>1275</x:v>
      </x:c>
      <x:c r="D94" s="17"/>
      <x:c r="E94" s="19" t="s">
        <x:v>1280</x:v>
      </x:c>
      <x:c r="F94" s="19" t="s">
        <x:v>737</x:v>
      </x:c>
      <x:c r="G94" s="19" t="s">
        <x:v>1281</x:v>
      </x:c>
    </x:row>
    <x:row r="95" ht="23.850000381469727" hidden="0">
      <x:c r="A95" s="13" t="s">
        <x:v>1282</x:v>
      </x:c>
      <x:c r="B95" s="13" t="s">
        <x:v>1283</x:v>
      </x:c>
      <x:c r="C95" s="13" t="s">
        <x:v>1284</x:v>
      </x:c>
      <x:c r="D95" s="13"/>
      <x:c r="E95" s="15" t="s">
        <x:v>1285</x:v>
      </x:c>
      <x:c r="F95" s="15" t="s">
        <x:v>1286</x:v>
      </x:c>
      <x:c r="G95" s="15" t="s">
        <x:v>1287</x:v>
      </x:c>
    </x:row>
    <x:row r="96" ht="23.850000381469727" hidden="0">
      <x:c r="A96" s="17" t="s">
        <x:v>1288</x:v>
      </x:c>
      <x:c r="B96" s="17" t="s">
        <x:v>1289</x:v>
      </x:c>
      <x:c r="C96" s="17" t="s">
        <x:v>1256</x:v>
      </x:c>
      <x:c r="D96" s="17"/>
      <x:c r="E96" s="19" t="s">
        <x:v>1290</x:v>
      </x:c>
      <x:c r="F96" s="19" t="s">
        <x:v>1291</x:v>
      </x:c>
      <x:c r="G96" s="19" t="s">
        <x:v>1292</x:v>
      </x:c>
    </x:row>
    <x:row r="97" ht="15" hidden="0">
      <x:c r="A97" s="13" t="s">
        <x:v>1293</x:v>
      </x:c>
      <x:c r="B97" s="13" t="s">
        <x:v>1294</x:v>
      </x:c>
      <x:c r="C97" s="13" t="s">
        <x:v>1256</x:v>
      </x:c>
      <x:c r="D97" s="13"/>
      <x:c r="E97" s="15" t="s">
        <x:v>1295</x:v>
      </x:c>
      <x:c r="F97" s="15" t="s">
        <x:v>1296</x:v>
      </x:c>
      <x:c r="G97" s="15" t="s">
        <x:v>1297</x:v>
      </x:c>
    </x:row>
    <x:row r="98" ht="15" hidden="0">
      <x:c r="A98" s="17" t="s">
        <x:v>1298</x:v>
      </x:c>
      <x:c r="B98" s="17" t="s">
        <x:v>1299</x:v>
      </x:c>
      <x:c r="C98" s="17" t="s">
        <x:v>1256</x:v>
      </x:c>
      <x:c r="D98" s="17"/>
      <x:c r="E98" s="19" t="s">
        <x:v>1300</x:v>
      </x:c>
      <x:c r="F98" s="19" t="s">
        <x:v>1301</x:v>
      </x:c>
      <x:c r="G98" s="19" t="s">
        <x:v>1259</x:v>
      </x:c>
    </x:row>
    <x:row r="99" ht="35.04999923706055" hidden="0">
      <x:c r="A99" s="13" t="s">
        <x:v>1302</x:v>
      </x:c>
      <x:c r="B99" s="13" t="s">
        <x:v>1303</x:v>
      </x:c>
      <x:c r="C99" s="13" t="s">
        <x:v>1304</x:v>
      </x:c>
      <x:c r="D99" s="13"/>
      <x:c r="E99" s="15" t="s">
        <x:v>1305</x:v>
      </x:c>
      <x:c r="F99" s="15" t="s">
        <x:v>1306</x:v>
      </x:c>
      <x:c r="G99" s="15" t="s">
        <x:v>1307</x:v>
      </x:c>
    </x:row>
    <x:row r="101" ht="15" hidden="0" customHeight="1">
      <x:c r="A101" s="3" t="s">
        <x:v>1308</x:v>
      </x:c>
      <x:c r="B101" s="10" t="s">
        <x:v>1309</x:v>
      </x:c>
      <x:c r="C101" s="10"/>
      <x:c r="D101" s="10"/>
      <x:c r="E101" s="10"/>
      <x:c r="F101" s="10"/>
      <x:c r="G101" s="10"/>
    </x:row>
    <x:row r="102" ht="15" hidden="0">
      <x:c r="A102" s="13"/>
      <x:c r="B102" s="21" t="s">
        <x:v>1120</x:v>
      </x:c>
      <x:c r="C102" s="13" t="s">
        <x:v>1310</x:v>
      </x:c>
      <x:c r="D102" s="13"/>
      <x:c r="E102" s="13"/>
      <x:c r="F102" s="13"/>
      <x:c r="G102" s="13"/>
    </x:row>
    <x:row r="103" ht="15" hidden="0">
      <x:c r="A103" s="13"/>
      <x:c r="B103" s="21" t="s">
        <x:v>1158</x:v>
      </x:c>
      <x:c r="C103" s="13" t="s">
        <x:v>1311</x:v>
      </x:c>
      <x:c r="D103" s="13"/>
      <x:c r="E103" s="13"/>
      <x:c r="F103" s="13"/>
      <x:c r="G103" s="13"/>
    </x:row>
    <x:row r="104" ht="15" hidden="0">
      <x:c r="A104" s="13"/>
      <x:c r="B104" s="21" t="s">
        <x:v>1141</x:v>
      </x:c>
      <x:c r="C104" s="13" t="s">
        <x:v>1310</x:v>
      </x:c>
      <x:c r="D104" s="13"/>
      <x:c r="E104" s="13"/>
      <x:c r="F104" s="13"/>
      <x:c r="G104" s="13"/>
    </x:row>
    <x:row r="105" ht="15" hidden="0">
      <x:c r="A105" s="13"/>
      <x:c r="B105" s="21" t="s">
        <x:v>1152</x:v>
      </x:c>
      <x:c r="C105" s="13" t="s">
        <x:v>1312</x:v>
      </x:c>
      <x:c r="D105" s="13"/>
      <x:c r="E105" s="13"/>
      <x:c r="F105" s="13"/>
      <x:c r="G105" s="13"/>
    </x:row>
    <x:row r="106" ht="15" hidden="0">
      <x:c r="A106" s="13"/>
      <x:c r="B106" s="21" t="s">
        <x:v>1076</x:v>
      </x:c>
      <x:c r="C106" s="13" t="s">
        <x:v>1313</x:v>
      </x:c>
      <x:c r="D106" s="13"/>
      <x:c r="E106" s="13"/>
      <x:c r="F106" s="13"/>
      <x:c r="G106" s="13"/>
    </x:row>
    <x:row r="107" ht="15" hidden="0">
      <x:c r="A107" s="13"/>
      <x:c r="B107" s="21" t="s">
        <x:v>1086</x:v>
      </x:c>
      <x:c r="C107" s="13" t="s">
        <x:v>1311</x:v>
      </x:c>
      <x:c r="D107" s="13"/>
      <x:c r="E107" s="13"/>
      <x:c r="F107" s="13"/>
      <x:c r="G107" s="13"/>
    </x:row>
    <x:row r="108" ht="15" hidden="0">
      <x:c r="A108" s="13"/>
      <x:c r="B108" s="21" t="s">
        <x:v>1162</x:v>
      </x:c>
      <x:c r="C108" s="13" t="s">
        <x:v>1314</x:v>
      </x:c>
      <x:c r="D108" s="13"/>
      <x:c r="E108" s="13"/>
      <x:c r="F108" s="13"/>
      <x:c r="G108" s="13"/>
    </x:row>
    <x:row r="109" ht="15" hidden="0">
      <x:c r="A109" s="13"/>
      <x:c r="B109" s="21" t="s">
        <x:v>1104</x:v>
      </x:c>
      <x:c r="C109" s="13" t="s">
        <x:v>1310</x:v>
      </x:c>
      <x:c r="D109" s="13"/>
      <x:c r="E109" s="13"/>
      <x:c r="F109" s="13"/>
      <x:c r="G109" s="13"/>
    </x:row>
    <x:row r="110" ht="15" hidden="0">
      <x:c r="A110" s="13"/>
      <x:c r="B110" s="21" t="s">
        <x:v>1072</x:v>
      </x:c>
      <x:c r="C110" s="13" t="s">
        <x:v>1313</x:v>
      </x:c>
      <x:c r="D110" s="13"/>
      <x:c r="E110" s="13"/>
      <x:c r="F110" s="13"/>
      <x:c r="G110" s="13"/>
    </x:row>
    <x:row r="111" ht="15" hidden="0">
      <x:c r="A111" s="13"/>
      <x:c r="B111" s="21" t="s">
        <x:v>1228</x:v>
      </x:c>
      <x:c r="C111" s="13" t="s">
        <x:v>1315</x:v>
      </x:c>
      <x:c r="D111" s="13"/>
      <x:c r="E111" s="13"/>
      <x:c r="F111" s="13"/>
      <x:c r="G111" s="13"/>
    </x:row>
  </x:sheetData>
  <x:mergeCells>
    <x:mergeCell ref="A2:G2"/>
    <x:mergeCell ref="B5:G5"/>
    <x:mergeCell ref="B23:G23"/>
    <x:mergeCell ref="B34:G34"/>
    <x:mergeCell ref="B66:G66"/>
    <x:mergeCell ref="B87:G87"/>
    <x:mergeCell ref="B101:G10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32" hidden="0" customWidth="1"/>
    <x:col min="4" max="4" width="20" hidden="0" customWidth="1"/>
    <x:col min="5" max="5" width="42" hidden="0" customWidth="1"/>
    <x:col min="6" max="6" width="21" hidden="0" customWidth="1"/>
    <x:col min="7" max="7" width="22" hidden="0" customWidth="1"/>
    <x:col min="8" max="8" width="14" hidden="0" customWidth="1"/>
  </x:cols>
  <x:sheetData>
    <x:row r="1" ht="31" customHeight="1">
      <x:c r="A1" s="89" t="str">
        <x:v>GETAWAY COLLECTIVE · GO-LIVE LAUNCH PLAN</x:v>
      </x:c>
      <x:c r="B1" s="89"/>
      <x:c r="C1" s="89"/>
      <x:c r="D1" s="89"/>
      <x:c r="E1" s="89"/>
      <x:c r="F1" s="89"/>
      <x:c r="G1" s="89"/>
      <x:c r="H1" s="89"/>
    </x:row>
    <x:row r="2">
      <x:c r="A2" s="90" t="str">
        <x:v>Decision-led plan · public launch only after every Tier 1 gate is evidenced</x:v>
      </x:c>
      <x:c r="B2" s="90"/>
      <x:c r="C2" s="90"/>
      <x:c r="D2" s="90"/>
      <x:c r="E2" s="90"/>
      <x:c r="F2" s="90"/>
      <x:c r="G2" s="90"/>
      <x:c r="H2" s="90"/>
    </x:row>
    <x:row r="3">
      <x:c r="A3" s="91"/>
      <x:c r="B3" s="91"/>
      <x:c r="C3" s="91"/>
      <x:c r="D3" s="91"/>
      <x:c r="E3" s="91"/>
      <x:c r="F3" s="91"/>
      <x:c r="G3" s="91"/>
      <x:c r="H3" s="91"/>
    </x:row>
    <x:row r="4">
      <x:c r="A4" s="92" t="str">
        <x:v>ARCHITECTURE</x:v>
      </x:c>
      <x:c r="B4" s="92"/>
      <x:c r="C4" s="92" t="str">
        <x:v>PRODUCT</x:v>
      </x:c>
      <x:c r="D4" s="92"/>
      <x:c r="E4" s="92" t="str">
        <x:v>PRODUCTION</x:v>
      </x:c>
      <x:c r="F4" s="92"/>
      <x:c r="G4" s="92" t="str">
        <x:v>LEGAL / OPS</x:v>
      </x:c>
      <x:c r="H4" s="92"/>
    </x:row>
    <x:row r="5">
      <x:c r="A5" s="93" t="str">
        <x:v>Mature conceptual system</x:v>
      </x:c>
      <x:c r="B5" s="93"/>
      <x:c r="C5" s="93" t="str">
        <x:v>Polished but scaffold-heavy</x:v>
      </x:c>
      <x:c r="D5" s="93"/>
      <x:c r="E5" s="93" t="str">
        <x:v>Execution work remains</x:v>
      </x:c>
      <x:c r="F5" s="93"/>
      <x:c r="G5" s="93" t="str">
        <x:v>External sign-off required</x:v>
      </x:c>
      <x:c r="H5" s="93"/>
    </x:row>
    <x:row r="6">
      <x:c r="A6" s="91"/>
      <x:c r="B6" s="91"/>
      <x:c r="C6" s="91"/>
      <x:c r="D6" s="91"/>
      <x:c r="E6" s="91"/>
      <x:c r="F6" s="91"/>
      <x:c r="G6" s="91"/>
      <x:c r="H6" s="91"/>
    </x:row>
    <x:row r="7">
      <x:c r="A7" s="92" t="str">
        <x:v>THE LAUNCH RULE</x:v>
      </x:c>
      <x:c r="B7" s="92"/>
      <x:c r="C7" s="92"/>
      <x:c r="D7" s="92"/>
      <x:c r="E7" s="92"/>
      <x:c r="F7" s="92"/>
      <x:c r="G7" s="92"/>
      <x:c r="H7" s="92"/>
    </x:row>
    <x:row r="8" ht="33" customHeight="1">
      <x:c r="A8" s="94" t="str">
        <x:v>Do not use public traffic to test identity, money movement, legal terms, or entity facts. A closed pilot may begin only after Tier 1 evidence is complete and all pilot participants are explicitly invited; broad public launch follows the final operational rehearsal and Go/No-Go sign-off.</x:v>
      </x:c>
      <x:c r="B8" s="95"/>
      <x:c r="C8" s="95"/>
      <x:c r="D8" s="95"/>
      <x:c r="E8" s="95"/>
      <x:c r="F8" s="95"/>
      <x:c r="G8" s="95"/>
      <x:c r="H8" s="96"/>
    </x:row>
    <x:row r="9" ht="33" customHeight="1">
      <x:c r="A9" s="97"/>
      <x:c r="B9" s="98"/>
      <x:c r="C9" s="98"/>
      <x:c r="D9" s="98"/>
      <x:c r="E9" s="98"/>
      <x:c r="F9" s="98"/>
      <x:c r="G9" s="98"/>
      <x:c r="H9" s="99"/>
    </x:row>
    <x:row r="10">
      <x:c r="A10" s="91"/>
      <x:c r="B10" s="91"/>
      <x:c r="C10" s="91"/>
      <x:c r="D10" s="91"/>
      <x:c r="E10" s="91"/>
      <x:c r="F10" s="91"/>
      <x:c r="G10" s="91"/>
      <x:c r="H10" s="91"/>
    </x:row>
    <x:row r="11">
      <x:c r="A11" s="92" t="str">
        <x:v>SEQUENCE — RELATIVE WEEKS, NOT A DATE PROMISE</x:v>
      </x:c>
      <x:c r="B11" s="92"/>
      <x:c r="C11" s="92"/>
      <x:c r="D11" s="92"/>
      <x:c r="E11" s="92"/>
      <x:c r="F11" s="92"/>
      <x:c r="G11" s="92"/>
      <x:c r="H11" s="92"/>
    </x:row>
    <x:row r="12">
      <x:c r="A12" s="100" t="str">
        <x:v>Phase</x:v>
      </x:c>
      <x:c r="B12" s="100" t="str">
        <x:v>Window</x:v>
      </x:c>
      <x:c r="C12" s="100" t="str">
        <x:v>Objective</x:v>
      </x:c>
      <x:c r="D12" s="100" t="str">
        <x:v>Primary owner</x:v>
      </x:c>
      <x:c r="E12" s="100" t="str">
        <x:v>Exit evidence</x:v>
      </x:c>
      <x:c r="F12" s="100" t="str">
        <x:v>Blocks</x:v>
      </x:c>
      <x:c r="G12" s="100" t="str">
        <x:v>Decision</x:v>
      </x:c>
      <x:c r="H12" s="100" t="str">
        <x:v>Status</x:v>
      </x:c>
    </x:row>
    <x:row r="13" ht="44" customHeight="1">
      <x:c r="A13" s="67" t="str">
        <x:v>0 · Lock the boundary</x:v>
      </x:c>
      <x:c r="B13" s="67" t="str">
        <x:v>Week 0</x:v>
      </x:c>
      <x:c r="C13" s="67" t="str">
        <x:v>Remove public governance exposure and name accountable owners.</x:v>
      </x:c>
      <x:c r="D13" s="67" t="str">
        <x:v>Founders / Legal</x:v>
      </x:c>
      <x:c r="E13" s="67" t="str">
        <x:v>Legal review scope, repository visibility decision, entity-verification protocol.</x:v>
      </x:c>
      <x:c r="F13" s="67" t="str">
        <x:v>Any public launch</x:v>
      </x:c>
      <x:c r="G13" s="67" t="str">
        <x:v>Approve launch scope</x:v>
      </x:c>
      <x:c r="H13" s="67" t="str">
        <x:v>Open</x:v>
      </x:c>
    </x:row>
    <x:row r="14" ht="44" customHeight="1">
      <x:c r="A14" s="67" t="str">
        <x:v>1 · Make entry safe</x:v>
      </x:c>
      <x:c r="B14" s="67" t="str">
        <x:v>Weeks 1–2</x:v>
      </x:c>
      <x:c r="C14" s="67" t="str">
        <x:v>Authenticate, authorize, rate-limit, and make consent/comms compliant.</x:v>
      </x:c>
      <x:c r="D14" s="67" t="str">
        <x:v>Engineering + Legal</x:v>
      </x:c>
      <x:c r="E14" s="67" t="str">
        <x:v>End-to-end identity and access tests; consent, unsubscribe, and abuse tests pass.</x:v>
      </x:c>
      <x:c r="F14" s="67" t="str">
        <x:v>Pilot</x:v>
      </x:c>
      <x:c r="G14" s="67" t="str">
        <x:v>Open invited pilot</x:v>
      </x:c>
      <x:c r="H14" s="67" t="str">
        <x:v>Open</x:v>
      </x:c>
    </x:row>
    <x:row r="15" ht="44" customHeight="1">
      <x:c r="A15" s="67" t="str">
        <x:v>2 · Make money real</x:v>
      </x:c>
      <x:c r="B15" s="67" t="str">
        <x:v>Weeks 2–4</x:v>
      </x:c>
      <x:c r="C15" s="67" t="str">
        <x:v>Replace static state with a governed data layer and a verified payment path.</x:v>
      </x:c>
      <x:c r="D15" s="67" t="str">
        <x:v>Engineering + Finance</x:v>
      </x:c>
      <x:c r="E15" s="67" t="str">
        <x:v>Migration, reconciliation, payment success/failure, and audit-event evidence.</x:v>
      </x:c>
      <x:c r="F15" s="67" t="str">
        <x:v>Commitments / calls</x:v>
      </x:c>
      <x:c r="G15" s="67" t="str">
        <x:v>Enable controlled transactions</x:v>
      </x:c>
      <x:c r="H15" s="67" t="str">
        <x:v>Open</x:v>
      </x:c>
    </x:row>
    <x:row r="16" ht="44" customHeight="1">
      <x:c r="A16" s="67" t="str">
        <x:v>3 · Make operations recoverable</x:v>
      </x:c>
      <x:c r="B16" s="67" t="str">
        <x:v>Weeks 3–6</x:v>
      </x:c>
      <x:c r="C16" s="67" t="str">
        <x:v>Instrument, secure, deploy predictably, and prove recovery.</x:v>
      </x:c>
      <x:c r="D16" s="67" t="str">
        <x:v>Engineering + Operations</x:v>
      </x:c>
      <x:c r="E16" s="67" t="str">
        <x:v>Monitoring alerts, rollback drill, restore drill, security and accessibility evidence.</x:v>
      </x:c>
      <x:c r="F16" s="67" t="str">
        <x:v>Meaningful external usage</x:v>
      </x:c>
      <x:c r="G16" s="67" t="str">
        <x:v>Approve external beta</x:v>
      </x:c>
      <x:c r="H16" s="67" t="str">
        <x:v>Open</x:v>
      </x:c>
    </x:row>
    <x:row r="17" ht="44" customHeight="1">
      <x:c r="A17" s="67" t="str">
        <x:v>4 · Complete launch surface</x:v>
      </x:c>
      <x:c r="B17" s="67" t="str">
        <x:v>Weeks 5–7</x:v>
      </x:c>
      <x:c r="C17" s="67" t="str">
        <x:v>Close public-facing capability and content gaps without weakening controls.</x:v>
      </x:c>
      <x:c r="D17" s="67" t="str">
        <x:v>Product + Brand</x:v>
      </x:c>
      <x:c r="E17" s="67" t="str">
        <x:v>Content provenance, notification/PDF paths, scaffold review, approved public inventory.</x:v>
      </x:c>
      <x:c r="F17" s="67" t="str">
        <x:v>Broad launch quality</x:v>
      </x:c>
      <x:c r="G17" s="67" t="str">
        <x:v>Freeze launch candidate</x:v>
      </x:c>
      <x:c r="H17" s="67" t="str">
        <x:v>Open</x:v>
      </x:c>
    </x:row>
    <x:row r="18" ht="44" customHeight="1">
      <x:c r="A18" s="68" t="str">
        <x:v>5 · Rehearse and decide</x:v>
      </x:c>
      <x:c r="B18" s="68" t="str">
        <x:v>Week 8</x:v>
      </x:c>
      <x:c r="C18" s="68" t="str">
        <x:v>Run incident, payment, email, and legal-acknowledgement drills; sign Go/No-Go.</x:v>
      </x:c>
      <x:c r="D18" s="68" t="str">
        <x:v>Founders + Operations</x:v>
      </x:c>
      <x:c r="E18" s="68" t="str">
        <x:v>All Tier 1 rows evidenced; gate owners sign; no unresolved critical incident.</x:v>
      </x:c>
      <x:c r="F18" s="68" t="str">
        <x:v>Broad public launch</x:v>
      </x:c>
      <x:c r="G18" s="68" t="str">
        <x:v>Go / No-Go</x:v>
      </x:c>
      <x:c r="H18" s="68" t="str">
        <x:v>Open</x:v>
      </x:c>
    </x:row>
    <x:row r="19">
      <x:c r="A19" s="91"/>
      <x:c r="B19" s="91"/>
      <x:c r="C19" s="91"/>
      <x:c r="D19" s="91"/>
      <x:c r="E19" s="91"/>
      <x:c r="F19" s="91"/>
      <x:c r="G19" s="91"/>
      <x:c r="H19" s="91"/>
    </x:row>
    <x:row r="20">
      <x:c r="A20" s="91"/>
      <x:c r="B20" s="91"/>
      <x:c r="C20" s="91"/>
      <x:c r="D20" s="91"/>
      <x:c r="E20" s="91"/>
      <x:c r="F20" s="91"/>
      <x:c r="G20" s="91"/>
      <x:c r="H20" s="91"/>
    </x:row>
    <x:row r="21">
      <x:c r="A21" s="92" t="str">
        <x:v>OPERATING CADENCE</x:v>
      </x:c>
      <x:c r="B21" s="92"/>
      <x:c r="C21" s="92"/>
      <x:c r="D21" s="92"/>
      <x:c r="E21" s="92"/>
      <x:c r="F21" s="92"/>
      <x:c r="G21" s="92"/>
      <x:c r="H21" s="92"/>
    </x:row>
    <x:row r="22">
      <x:c r="A22" s="100" t="str">
        <x:v>Cadence</x:v>
      </x:c>
      <x:c r="B22" s="100" t="str">
        <x:v>Attendees</x:v>
      </x:c>
      <x:c r="C22" s="100" t="str">
        <x:v>Purpose</x:v>
      </x:c>
      <x:c r="D22" s="100" t="str">
        <x:v>Output</x:v>
      </x:c>
      <x:c r="E22" s="91"/>
      <x:c r="F22" s="91"/>
      <x:c r="G22" s="91"/>
      <x:c r="H22" s="91"/>
    </x:row>
    <x:row r="23">
      <x:c r="A23" s="67" t="str">
        <x:v>Daily launch stand-up</x:v>
      </x:c>
      <x:c r="B23" s="67" t="str">
        <x:v>Engineering, Product, Operations</x:v>
      </x:c>
      <x:c r="C23" s="67" t="str">
        <x:v>Unblock critical work and surface operational risk.</x:v>
      </x:c>
      <x:c r="D23" s="67" t="str">
        <x:v>One owner and next action per red gap.</x:v>
      </x:c>
      <x:c r="E23" s="91"/>
      <x:c r="F23" s="91"/>
      <x:c r="G23" s="91"/>
      <x:c r="H23" s="91"/>
    </x:row>
    <x:row r="24">
      <x:c r="A24" s="67" t="str">
        <x:v>Weekly gate review</x:v>
      </x:c>
      <x:c r="B24" s="67" t="str">
        <x:v>Gate owners + Founders</x:v>
      </x:c>
      <x:c r="C24" s="67" t="str">
        <x:v>Review only evidence, exceptions, and decisions.</x:v>
      </x:c>
      <x:c r="D24" s="67" t="str">
        <x:v>Signed gate status: Pass / Conditional / Fail.</x:v>
      </x:c>
      <x:c r="E24" s="91"/>
      <x:c r="F24" s="91"/>
      <x:c r="G24" s="91"/>
      <x:c r="H24" s="91"/>
    </x:row>
    <x:row r="25">
      <x:c r="A25" s="67" t="str">
        <x:v>Launch rehearsal</x:v>
      </x:c>
      <x:c r="B25" s="67" t="str">
        <x:v>All accountable functions</x:v>
      </x:c>
      <x:c r="C25" s="67" t="str">
        <x:v>Exercise payment, email, outage, rollback, and complaint paths.</x:v>
      </x:c>
      <x:c r="D25" s="67" t="str">
        <x:v>Runbook corrections and final Go/No-Go packet.</x:v>
      </x:c>
      <x:c r="E25" s="91"/>
      <x:c r="F25" s="91"/>
      <x:c r="G25" s="91"/>
      <x:c r="H25" s="91"/>
    </x:row>
    <x:row r="26">
      <x:c r="A26" s="91"/>
      <x:c r="B26" s="91"/>
      <x:c r="C26" s="91"/>
      <x:c r="D26" s="91"/>
      <x:c r="E26" s="91"/>
      <x:c r="F26" s="91"/>
      <x:c r="G26" s="91"/>
      <x:c r="H26" s="91"/>
    </x:row>
    <x:row r="27">
      <x:c r="A27" s="92" t="str">
        <x:v>SOURCE BASIS</x:v>
      </x:c>
      <x:c r="B27" s="92"/>
      <x:c r="C27" s="92"/>
      <x:c r="D27" s="92"/>
      <x:c r="E27" s="92"/>
      <x:c r="F27" s="92"/>
      <x:c r="G27" s="92"/>
      <x:c r="H27" s="92"/>
    </x:row>
    <x:row r="28" ht="24" customHeight="1">
      <x:c r="A28" s="101" t="str">
        <x:v>Repository evidence: GC-BUILD-STATE.xlsx (1 Aug 2026); authentication currently resolves anonymous, the build-state workbook states database/authentication/payments are absent, and 82 of 135 routes are scaffolds. Architecture/design references confirm strong information architecture, domain modeling, legal acknowledgement patterns, audit intent, motion/brand governance, and accessibility/performance contracts. This plan treats unimplemented runtime controls as launch risk, not a design failure.</x:v>
      </x:c>
      <x:c r="B28" s="101"/>
      <x:c r="C28" s="101"/>
      <x:c r="D28" s="101"/>
      <x:c r="E28" s="101"/>
      <x:c r="F28" s="101"/>
      <x:c r="G28" s="101"/>
      <x:c r="H28" s="101"/>
    </x:row>
    <x:row r="29" ht="24" customHeight="1">
      <x:c r="A29" s="101"/>
      <x:c r="B29" s="101"/>
      <x:c r="C29" s="101"/>
      <x:c r="D29" s="101"/>
      <x:c r="E29" s="101"/>
      <x:c r="F29" s="101"/>
      <x:c r="G29" s="101"/>
      <x:c r="H29" s="101"/>
    </x:row>
    <x:row r="30" ht="24" customHeight="1">
      <x:c r="A30" s="101"/>
      <x:c r="B30" s="101"/>
      <x:c r="C30" s="101"/>
      <x:c r="D30" s="101"/>
      <x:c r="E30" s="101"/>
      <x:c r="F30" s="101"/>
      <x:c r="G30" s="101"/>
      <x:c r="H30" s="101"/>
    </x:row>
  </x:sheetData>
  <x:mergeCells>
    <x:mergeCell ref="A1:H1"/>
    <x:mergeCell ref="A2:H2"/>
    <x:mergeCell ref="A4:B4"/>
    <x:mergeCell ref="C4:D4"/>
    <x:mergeCell ref="E4:F4"/>
    <x:mergeCell ref="G4:H4"/>
    <x:mergeCell ref="A7:H7"/>
    <x:mergeCell ref="A8:H9"/>
    <x:mergeCell ref="A11:H11"/>
    <x:mergeCell ref="A21:H21"/>
    <x:mergeCell ref="A27:H27"/>
    <x:mergeCell ref="A28:H3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21" hidden="0" customWidth="1"/>
    <x:col min="5" max="5" width="46" hidden="0" customWidth="1"/>
    <x:col min="6" max="6" width="24" hidden="0" customWidth="1"/>
    <x:col min="7" max="7" width="9" hidden="0" customWidth="1"/>
    <x:col min="8" max="8" width="22" hidden="0" customWidth="1"/>
    <x:col min="9" max="9" width="44" hidden="0" customWidth="1"/>
    <x:col min="10" max="10" width="16" hidden="0" customWidth="1"/>
  </x:cols>
  <x:sheetData>
    <x:row r="1">
      <x:c r="A1" s="103" t="str">
        <x:v>LAUNCH GAP REGISTER · SINGLE SOURCE OF GO/NO-GO WORK</x:v>
      </x:c>
      <x:c r="B1" s="103"/>
      <x:c r="C1" s="103"/>
      <x:c r="D1" s="103"/>
      <x:c r="E1" s="103"/>
      <x:c r="F1" s="103"/>
      <x:c r="G1" s="103"/>
      <x:c r="H1" s="103"/>
      <x:c r="I1" s="103"/>
      <x:c r="J1" s="103"/>
    </x:row>
    <x:row r="2">
      <x:c r="A2" s="90" t="str">
        <x:v>All rows remain Open until the evidence in column I is reviewed and accepted by the named owner. Tier 1 is non-negotiable for any public launch.</x:v>
      </x:c>
      <x:c r="B2" s="90"/>
      <x:c r="C2" s="90"/>
      <x:c r="D2" s="90"/>
      <x:c r="E2" s="90"/>
      <x:c r="F2" s="90"/>
      <x:c r="G2" s="90"/>
      <x:c r="H2" s="90"/>
      <x:c r="I2" s="90"/>
      <x:c r="J2" s="90"/>
    </x:row>
    <x:row r="3">
      <x:c r="A3" s="91"/>
      <x:c r="B3" s="91"/>
      <x:c r="C3" s="91"/>
      <x:c r="D3" s="91"/>
      <x:c r="E3" s="91"/>
      <x:c r="F3" s="91"/>
      <x:c r="G3" s="91"/>
      <x:c r="H3" s="91"/>
      <x:c r="I3" s="91"/>
      <x:c r="J3" s="91"/>
    </x:row>
    <x:row r="4">
      <x:c r="A4" s="100" t="str">
        <x:v>ID</x:v>
      </x:c>
      <x:c r="B4" s="100" t="str">
        <x:v>Category</x:v>
      </x:c>
      <x:c r="C4" s="100" t="str">
        <x:v>Tier</x:v>
      </x:c>
      <x:c r="D4" s="100" t="str">
        <x:v>Workstream</x:v>
      </x:c>
      <x:c r="E4" s="100" t="str">
        <x:v>Required outcome</x:v>
      </x:c>
      <x:c r="F4" s="100" t="str">
        <x:v>Accountable owner</x:v>
      </x:c>
      <x:c r="G4" s="100" t="str">
        <x:v>Gate</x:v>
      </x:c>
      <x:c r="H4" s="100" t="str">
        <x:v>Key dependency</x:v>
      </x:c>
      <x:c r="I4" s="100" t="str">
        <x:v>Evidence to close</x:v>
      </x:c>
      <x:c r="J4" s="100" t="str">
        <x:v>Status</x:v>
      </x:c>
    </x:row>
    <x:row r="5" ht="38" customHeight="1">
      <x:c r="A5" s="67" t="str">
        <x:v>G-01</x:v>
      </x:c>
      <x:c r="B5" s="67" t="str">
        <x:v>Launch Blockers</x:v>
      </x:c>
      <x:c r="C5" s="67" t="str">
        <x:v>Tier 1</x:v>
      </x:c>
      <x:c r="D5" s="67" t="str">
        <x:v>Legal</x:v>
      </x:c>
      <x:c r="E5" s="67" t="str">
        <x:v>Independent legal review and approved launch document set.</x:v>
      </x:c>
      <x:c r="F5" s="67" t="str">
        <x:v>Founders / Legal</x:v>
      </x:c>
      <x:c r="G5" s="67" t="str">
        <x:v>G0</x:v>
      </x:c>
      <x:c r="H5" s="67" t="str">
        <x:v>Entity facts</x:v>
      </x:c>
      <x:c r="I5" s="67" t="str">
        <x:v>Counsel approval, version register, publication authorization.</x:v>
      </x:c>
      <x:c r="J5" s="67" t="str">
        <x:v>Open</x:v>
      </x:c>
    </x:row>
    <x:row r="6" ht="38" customHeight="1">
      <x:c r="A6" s="67" t="str">
        <x:v>G-02</x:v>
      </x:c>
      <x:c r="B6" s="67" t="str">
        <x:v>Launch Blockers</x:v>
      </x:c>
      <x:c r="C6" s="67" t="str">
        <x:v>Tier 1</x:v>
      </x:c>
      <x:c r="D6" s="67" t="str">
        <x:v>Governance</x:v>
      </x:c>
      <x:c r="E6" s="67" t="str">
        <x:v>Make repository private or remove all legal drafts, identifiers, and internal logic from public access.</x:v>
      </x:c>
      <x:c r="F6" s="67" t="str">
        <x:v>Founders / Engineering</x:v>
      </x:c>
      <x:c r="G6" s="67" t="str">
        <x:v>G0</x:v>
      </x:c>
      <x:c r="H6" s="67" t="str">
        <x:v>Repository inventory</x:v>
      </x:c>
      <x:c r="I6" s="67" t="str">
        <x:v>Access review and written publication policy.</x:v>
      </x:c>
      <x:c r="J6" s="67" t="str">
        <x:v>Open</x:v>
      </x:c>
    </x:row>
    <x:row r="7" ht="38" customHeight="1">
      <x:c r="A7" s="67" t="str">
        <x:v>G-03</x:v>
      </x:c>
      <x:c r="B7" s="67" t="str">
        <x:v>Launch Blockers</x:v>
      </x:c>
      <x:c r="C7" s="67" t="str">
        <x:v>Tier 1</x:v>
      </x:c>
      <x:c r="D7" s="67" t="str">
        <x:v>Legal</x:v>
      </x:c>
      <x:c r="E7" s="67" t="str">
        <x:v>Independently verify every published entity fact.</x:v>
      </x:c>
      <x:c r="F7" s="67" t="str">
        <x:v>Legal</x:v>
      </x:c>
      <x:c r="G7" s="67" t="str">
        <x:v>G0</x:v>
      </x:c>
      <x:c r="H7" s="67" t="str">
        <x:v>Source documents</x:v>
      </x:c>
      <x:c r="I7" s="67" t="str">
        <x:v>Verification log with source, verifier, date, and expiry.</x:v>
      </x:c>
      <x:c r="J7" s="67" t="str">
        <x:v>Open</x:v>
      </x:c>
    </x:row>
    <x:row r="8" ht="38" customHeight="1">
      <x:c r="A8" s="67" t="str">
        <x:v>G-04</x:v>
      </x:c>
      <x:c r="B8" s="67" t="str">
        <x:v>Launch Blockers</x:v>
      </x:c>
      <x:c r="C8" s="67" t="str">
        <x:v>Tier 1</x:v>
      </x:c>
      <x:c r="D8" s="67" t="str">
        <x:v>Identity</x:v>
      </x:c>
      <x:c r="E8" s="67" t="str">
        <x:v>Implement production authentication; protected routes cannot remain anonymous fail-closed.</x:v>
      </x:c>
      <x:c r="F8" s="67" t="str">
        <x:v>Engineering</x:v>
      </x:c>
      <x:c r="G8" s="67" t="str">
        <x:v>G1</x:v>
      </x:c>
      <x:c r="H8" s="67" t="str">
        <x:v>Identity provider</x:v>
      </x:c>
      <x:c r="I8" s="67" t="str">
        <x:v>Sign-in, session expiry, revocation, and protected-route tests.</x:v>
      </x:c>
      <x:c r="J8" s="67" t="str">
        <x:v>Open</x:v>
      </x:c>
    </x:row>
    <x:row r="9" ht="38" customHeight="1">
      <x:c r="A9" s="67" t="str">
        <x:v>G-05</x:v>
      </x:c>
      <x:c r="B9" s="67" t="str">
        <x:v>Launch Blockers</x:v>
      </x:c>
      <x:c r="C9" s="67" t="str">
        <x:v>Tier 1</x:v>
      </x:c>
      <x:c r="D9" s="67" t="str">
        <x:v>Data</x:v>
      </x:c>
      <x:c r="E9" s="67" t="str">
        <x:v>Persist production records; replace static data for commitments and governed operations.</x:v>
      </x:c>
      <x:c r="F9" s="67" t="str">
        <x:v>Engineering</x:v>
      </x:c>
      <x:c r="G9" s="67" t="str">
        <x:v>G2</x:v>
      </x:c>
      <x:c r="H9" s="67" t="str">
        <x:v>Schema and migration</x:v>
      </x:c>
      <x:c r="I9" s="67" t="str">
        <x:v>Production migration, backup, restore, and record lifecycle test.</x:v>
      </x:c>
      <x:c r="J9" s="67" t="str">
        <x:v>Open</x:v>
      </x:c>
    </x:row>
    <x:row r="10" ht="38" customHeight="1">
      <x:c r="A10" s="67" t="str">
        <x:v>G-06</x:v>
      </x:c>
      <x:c r="B10" s="67" t="str">
        <x:v>Launch Blockers</x:v>
      </x:c>
      <x:c r="C10" s="67" t="str">
        <x:v>Tier 1</x:v>
      </x:c>
      <x:c r="D10" s="67" t="str">
        <x:v>Payments</x:v>
      </x:c>
      <x:c r="E10" s="67" t="str">
        <x:v>No commitment/call flow may present until its verified settlement path is live.</x:v>
      </x:c>
      <x:c r="F10" s="67" t="str">
        <x:v>Engineering + Finance</x:v>
      </x:c>
      <x:c r="G10" s="67" t="str">
        <x:v>G2</x:v>
      </x:c>
      <x:c r="H10" s="67" t="str">
        <x:v>Payment provider</x:v>
      </x:c>
      <x:c r="I10" s="67" t="str">
        <x:v>Success, failure, reconciliation, and support reversal runbook.</x:v>
      </x:c>
      <x:c r="J10" s="67" t="str">
        <x:v>Open</x:v>
      </x:c>
    </x:row>
    <x:row r="11" ht="38" customHeight="1">
      <x:c r="A11" s="67" t="str">
        <x:v>G-10</x:v>
      </x:c>
      <x:c r="B11" s="67" t="str">
        <x:v>Launch Blockers</x:v>
      </x:c>
      <x:c r="C11" s="67" t="str">
        <x:v>Tier 1</x:v>
      </x:c>
      <x:c r="D11" s="67" t="str">
        <x:v>Abuse prevention</x:v>
      </x:c>
      <x:c r="E11" s="67" t="str">
        <x:v>Rate-limit public email and form endpoints.</x:v>
      </x:c>
      <x:c r="F11" s="67" t="str">
        <x:v>Engineering</x:v>
      </x:c>
      <x:c r="G11" s="67" t="str">
        <x:v>G1</x:v>
      </x:c>
      <x:c r="H11" s="67" t="str">
        <x:v>Endpoint inventory</x:v>
      </x:c>
      <x:c r="I11" s="67" t="str">
        <x:v>Rate-limit, abuse alert, and rejection-path tests.</x:v>
      </x:c>
      <x:c r="J11" s="67" t="str">
        <x:v>Open</x:v>
      </x:c>
    </x:row>
    <x:row r="12" ht="38" customHeight="1">
      <x:c r="A12" s="67" t="str">
        <x:v>G-11</x:v>
      </x:c>
      <x:c r="B12" s="67" t="str">
        <x:v>Launch Blockers</x:v>
      </x:c>
      <x:c r="C12" s="67" t="str">
        <x:v>Tier 1</x:v>
      </x:c>
      <x:c r="D12" s="67" t="str">
        <x:v>Compliance</x:v>
      </x:c>
      <x:c r="E12" s="67" t="str">
        <x:v>Implement recorded consent, unsubscribe, and marketing compliance.</x:v>
      </x:c>
      <x:c r="F12" s="67" t="str">
        <x:v>Legal + Product</x:v>
      </x:c>
      <x:c r="G12" s="67" t="str">
        <x:v>G1</x:v>
      </x:c>
      <x:c r="H12" s="67" t="str">
        <x:v>Approved policy</x:v>
      </x:c>
      <x:c r="I12" s="67" t="str">
        <x:v>Consent record, preference handling, unsubscribe tests.</x:v>
      </x:c>
      <x:c r="J12" s="67" t="str">
        <x:v>Open</x:v>
      </x:c>
    </x:row>
    <x:row r="13" ht="38" customHeight="1">
      <x:c r="A13" s="67" t="str">
        <x:v>G-09</x:v>
      </x:c>
      <x:c r="B13" s="67" t="str">
        <x:v>Platform Readiness</x:v>
      </x:c>
      <x:c r="C13" s="67" t="str">
        <x:v>Tier 2</x:v>
      </x:c>
      <x:c r="D13" s="67" t="str">
        <x:v>Error reporting</x:v>
      </x:c>
      <x:c r="E13" s="67" t="str">
        <x:v>Configure Sentry or equivalent error capture with ownership and alert routing.</x:v>
      </x:c>
      <x:c r="F13" s="67" t="str">
        <x:v>Engineering</x:v>
      </x:c>
      <x:c r="G13" s="67" t="str">
        <x:v>G3</x:v>
      </x:c>
      <x:c r="H13" s="67" t="str">
        <x:v>Environment config</x:v>
      </x:c>
      <x:c r="I13" s="67" t="str">
        <x:v>Deliberate-error test reaches on-call owner.</x:v>
      </x:c>
      <x:c r="J13" s="67" t="str">
        <x:v>Open</x:v>
      </x:c>
    </x:row>
    <x:row r="14" ht="38" customHeight="1">
      <x:c r="A14" s="67" t="str">
        <x:v>G-12</x:v>
      </x:c>
      <x:c r="B14" s="67" t="str">
        <x:v>Platform Readiness</x:v>
      </x:c>
      <x:c r="C14" s="67" t="str">
        <x:v>Tier 2</x:v>
      </x:c>
      <x:c r="D14" s="67" t="str">
        <x:v>Delivery</x:v>
      </x:c>
      <x:c r="E14" s="67" t="str">
        <x:v>Establish CI/CD with protected deploys and required checks.</x:v>
      </x:c>
      <x:c r="F14" s="67" t="str">
        <x:v>Engineering</x:v>
      </x:c>
      <x:c r="G14" s="67" t="str">
        <x:v>G3</x:v>
      </x:c>
      <x:c r="H14" s="67" t="str">
        <x:v>Source control policy</x:v>
      </x:c>
      <x:c r="I14" s="67" t="str">
        <x:v>Build, tests, preview, approval, and rollback evidence.</x:v>
      </x:c>
      <x:c r="J14" s="67" t="str">
        <x:v>Open</x:v>
      </x:c>
    </x:row>
    <x:row r="15" ht="38" customHeight="1">
      <x:c r="A15" s="67" t="str">
        <x:v>G-18</x:v>
      </x:c>
      <x:c r="B15" s="67" t="str">
        <x:v>Platform Readiness</x:v>
      </x:c>
      <x:c r="C15" s="67" t="str">
        <x:v>Tier 2</x:v>
      </x:c>
      <x:c r="D15" s="67" t="str">
        <x:v>Release</x:v>
      </x:c>
      <x:c r="E15" s="67" t="str">
        <x:v>Verify production deployment and environment separation.</x:v>
      </x:c>
      <x:c r="F15" s="67" t="str">
        <x:v>Engineering</x:v>
      </x:c>
      <x:c r="G15" s="67" t="str">
        <x:v>G3</x:v>
      </x:c>
      <x:c r="H15" s="67" t="str">
        <x:v>CI/CD</x:v>
      </x:c>
      <x:c r="I15" s="67" t="str">
        <x:v>Release checklist, smoke test, and rollback drill.</x:v>
      </x:c>
      <x:c r="J15" s="67" t="str">
        <x:v>Open</x:v>
      </x:c>
    </x:row>
    <x:row r="16" ht="38" customHeight="1">
      <x:c r="A16" s="67" t="str">
        <x:v>G-19</x:v>
      </x:c>
      <x:c r="B16" s="67" t="str">
        <x:v>Platform Readiness</x:v>
      </x:c>
      <x:c r="C16" s="67" t="str">
        <x:v>Tier 2</x:v>
      </x:c>
      <x:c r="D16" s="67" t="str">
        <x:v>Auditability</x:v>
      </x:c>
      <x:c r="E16" s="67" t="str">
        <x:v>Persist immutable audit records for ownership, payment, legal acknowledgement, and document access.</x:v>
      </x:c>
      <x:c r="F16" s="67" t="str">
        <x:v>Engineering + Legal</x:v>
      </x:c>
      <x:c r="G16" s="67" t="str">
        <x:v>G2</x:v>
      </x:c>
      <x:c r="H16" s="67" t="str">
        <x:v>Data model</x:v>
      </x:c>
      <x:c r="I16" s="67" t="str">
        <x:v>Append-only audit record and retrieval test.</x:v>
      </x:c>
      <x:c r="J16" s="67" t="str">
        <x:v>Open</x:v>
      </x:c>
    </x:row>
    <x:row r="17" ht="38" customHeight="1">
      <x:c r="A17" s="67" t="str">
        <x:v>G-20</x:v>
      </x:c>
      <x:c r="B17" s="67" t="str">
        <x:v>Platform Readiness</x:v>
      </x:c>
      <x:c r="C17" s="67" t="str">
        <x:v>Tier 2</x:v>
      </x:c>
      <x:c r="D17" s="67" t="str">
        <x:v>Authorization</x:v>
      </x:c>
      <x:c r="E17" s="67" t="str">
        <x:v>Enforce mature role/right/scope authorization at every sensitive endpoint.</x:v>
      </x:c>
      <x:c r="F17" s="67" t="str">
        <x:v>Engineering</x:v>
      </x:c>
      <x:c r="G17" s="67" t="str">
        <x:v>G1</x:v>
      </x:c>
      <x:c r="H17" s="67" t="str">
        <x:v>Authentication</x:v>
      </x:c>
      <x:c r="I17" s="67" t="str">
        <x:v>Negative authorization tests and periodic access review.</x:v>
      </x:c>
      <x:c r="J17" s="67" t="str">
        <x:v>Open</x:v>
      </x:c>
    </x:row>
    <x:row r="18" ht="38" customHeight="1">
      <x:c r="A18" s="67" t="str">
        <x:v>G-22</x:v>
      </x:c>
      <x:c r="B18" s="67" t="str">
        <x:v>Platform Readiness</x:v>
      </x:c>
      <x:c r="C18" s="67" t="str">
        <x:v>Tier 2</x:v>
      </x:c>
      <x:c r="D18" s="67" t="str">
        <x:v>Secrets</x:v>
      </x:c>
      <x:c r="E18" s="67" t="str">
        <x:v>Establish secret ownership, rotation, expiry, and audit controls.</x:v>
      </x:c>
      <x:c r="F18" s="67" t="str">
        <x:v>Engineering + Operations</x:v>
      </x:c>
      <x:c r="G18" s="67" t="str">
        <x:v>G3</x:v>
      </x:c>
      <x:c r="H18" s="67" t="str">
        <x:v>Hosting provider</x:v>
      </x:c>
      <x:c r="I18" s="67" t="str">
        <x:v>Secret register and rotation exercise.</x:v>
      </x:c>
      <x:c r="J18" s="67" t="str">
        <x:v>Open</x:v>
      </x:c>
    </x:row>
    <x:row r="19" ht="38" customHeight="1">
      <x:c r="A19" s="67" t="str">
        <x:v>G-23</x:v>
      </x:c>
      <x:c r="B19" s="67" t="str">
        <x:v>Platform Readiness</x:v>
      </x:c>
      <x:c r="C19" s="67" t="str">
        <x:v>Tier 2</x:v>
      </x:c>
      <x:c r="D19" s="67" t="str">
        <x:v>Monitoring</x:v>
      </x:c>
      <x:c r="E19" s="67" t="str">
        <x:v>Monitor uptime, API latency, email/payment failures, and database health.</x:v>
      </x:c>
      <x:c r="F19" s="67" t="str">
        <x:v>Engineering + Operations</x:v>
      </x:c>
      <x:c r="G19" s="67" t="str">
        <x:v>G3</x:v>
      </x:c>
      <x:c r="H19" s="67" t="str">
        <x:v>Production runtime</x:v>
      </x:c>
      <x:c r="I19" s="67" t="str">
        <x:v>Dashboards, thresholds, alert routing, weekly review.</x:v>
      </x:c>
      <x:c r="J19" s="67" t="str">
        <x:v>Open</x:v>
      </x:c>
    </x:row>
    <x:row r="20" ht="38" customHeight="1">
      <x:c r="A20" s="67" t="str">
        <x:v>G-25</x:v>
      </x:c>
      <x:c r="B20" s="67" t="str">
        <x:v>Platform Readiness</x:v>
      </x:c>
      <x:c r="C20" s="67" t="str">
        <x:v>Tier 2</x:v>
      </x:c>
      <x:c r="D20" s="67" t="str">
        <x:v>Security</x:v>
      </x:c>
      <x:c r="E20" s="67" t="str">
        <x:v>Complete dependency, OWASP, CSP, header, and independent security review.</x:v>
      </x:c>
      <x:c r="F20" s="67" t="str">
        <x:v>Engineering + Security</x:v>
      </x:c>
      <x:c r="G20" s="67" t="str">
        <x:v>G3</x:v>
      </x:c>
      <x:c r="H20" s="67" t="str">
        <x:v>Production host</x:v>
      </x:c>
      <x:c r="I20" s="67" t="str">
        <x:v>Risk report; critical findings closed or formally accepted.</x:v>
      </x:c>
      <x:c r="J20" s="67" t="str">
        <x:v>Open</x:v>
      </x:c>
    </x:row>
    <x:row r="21" ht="38" customHeight="1">
      <x:c r="A21" s="67" t="str">
        <x:v>G-26</x:v>
      </x:c>
      <x:c r="B21" s="67" t="str">
        <x:v>Platform Readiness</x:v>
      </x:c>
      <x:c r="C21" s="67" t="str">
        <x:v>Tier 2</x:v>
      </x:c>
      <x:c r="D21" s="67" t="str">
        <x:v>Performance</x:v>
      </x:c>
      <x:c r="E21" s="67" t="str">
        <x:v>Set and verify measurable LCP, CLS, INP, bundle, image, and Lighthouse budgets.</x:v>
      </x:c>
      <x:c r="F21" s="67" t="str">
        <x:v>Engineering + Product</x:v>
      </x:c>
      <x:c r="G21" s="67" t="str">
        <x:v>G3</x:v>
      </x:c>
      <x:c r="H21" s="67" t="str">
        <x:v>Production build</x:v>
      </x:c>
      <x:c r="I21" s="67" t="str">
        <x:v>Budget report from representative public and signed-in paths.</x:v>
      </x:c>
      <x:c r="J21" s="67" t="str">
        <x:v>Open</x:v>
      </x:c>
    </x:row>
    <x:row r="22" ht="38" customHeight="1">
      <x:c r="A22" s="67" t="str">
        <x:v>G-07</x:v>
      </x:c>
      <x:c r="B22" s="67" t="str">
        <x:v>Product Completeness</x:v>
      </x:c>
      <x:c r="C22" s="67" t="str">
        <x:v>Tier 3</x:v>
      </x:c>
      <x:c r="D22" s="67" t="str">
        <x:v>Surfaces</x:v>
      </x:c>
      <x:c r="E22" s="67" t="str">
        <x:v>Replace priority registry scaffolds with working user-facing flows.</x:v>
      </x:c>
      <x:c r="F22" s="67" t="str">
        <x:v>Product + Engineering</x:v>
      </x:c>
      <x:c r="G22" s="67" t="str">
        <x:v>G4</x:v>
      </x:c>
      <x:c r="H22" s="67" t="str">
        <x:v>G1–G3</x:v>
      </x:c>
      <x:c r="I22" s="67" t="str">
        <x:v>Approved route inventory; no public scaffold presented as complete.</x:v>
      </x:c>
      <x:c r="J22" s="67" t="str">
        <x:v>Open</x:v>
      </x:c>
    </x:row>
    <x:row r="23" ht="38" customHeight="1">
      <x:c r="A23" s="67" t="str">
        <x:v>G-08</x:v>
      </x:c>
      <x:c r="B23" s="67" t="str">
        <x:v>Product Completeness</x:v>
      </x:c>
      <x:c r="C23" s="67" t="str">
        <x:v>Tier 3</x:v>
      </x:c>
      <x:c r="D23" s="67" t="str">
        <x:v>Photography</x:v>
      </x:c>
      <x:c r="E23" s="67" t="str">
        <x:v>Publish licensed, consented, and accurately labeled imagery.</x:v>
      </x:c>
      <x:c r="F23" s="67" t="str">
        <x:v>Brand + Legal</x:v>
      </x:c>
      <x:c r="G23" s="67" t="str">
        <x:v>G4</x:v>
      </x:c>
      <x:c r="H23" s="67" t="str">
        <x:v>Asset register</x:v>
      </x:c>
      <x:c r="I23" s="67" t="str">
        <x:v>Asset provenance and labeling review.</x:v>
      </x:c>
      <x:c r="J23" s="67" t="str">
        <x:v>Open</x:v>
      </x:c>
    </x:row>
    <x:row r="24" ht="38" customHeight="1">
      <x:c r="A24" s="67" t="str">
        <x:v>G-13</x:v>
      </x:c>
      <x:c r="B24" s="67" t="str">
        <x:v>Product Completeness</x:v>
      </x:c>
      <x:c r="C24" s="67" t="str">
        <x:v>Tier 3</x:v>
      </x:c>
      <x:c r="D24" s="67" t="str">
        <x:v>Notifications</x:v>
      </x:c>
      <x:c r="E24" s="67" t="str">
        <x:v>Deliver and trace regulated and operational notifications.</x:v>
      </x:c>
      <x:c r="F24" s="67" t="str">
        <x:v>Product + Engineering</x:v>
      </x:c>
      <x:c r="G24" s="67" t="str">
        <x:v>G4</x:v>
      </x:c>
      <x:c r="H24" s="67" t="str">
        <x:v>G5 + G19</x:v>
      </x:c>
      <x:c r="I24" s="67" t="str">
        <x:v>Delivery records, preferences, and resend/escalation test.</x:v>
      </x:c>
      <x:c r="J24" s="67" t="str">
        <x:v>Open</x:v>
      </x:c>
    </x:row>
    <x:row r="25" ht="38" customHeight="1">
      <x:c r="A25" s="67" t="str">
        <x:v>G-14</x:v>
      </x:c>
      <x:c r="B25" s="67" t="str">
        <x:v>Product Completeness</x:v>
      </x:c>
      <x:c r="C25" s="67" t="str">
        <x:v>Tier 3</x:v>
      </x:c>
      <x:c r="D25" s="67" t="str">
        <x:v>Documents</x:v>
      </x:c>
      <x:c r="E25" s="67" t="str">
        <x:v>Generate and retain correct PDF documents and receipts.</x:v>
      </x:c>
      <x:c r="F25" s="67" t="str">
        <x:v>Product + Engineering</x:v>
      </x:c>
      <x:c r="G25" s="67" t="str">
        <x:v>G4</x:v>
      </x:c>
      <x:c r="H25" s="67" t="str">
        <x:v>G5 + G19</x:v>
      </x:c>
      <x:c r="I25" s="67" t="str">
        <x:v>Versioned output, retention, retrieval, and sample review.</x:v>
      </x:c>
      <x:c r="J25" s="67" t="str">
        <x:v>Open</x:v>
      </x:c>
    </x:row>
    <x:row r="26" ht="38" customHeight="1">
      <x:c r="A26" s="67" t="str">
        <x:v>G-17</x:v>
      </x:c>
      <x:c r="B26" s="67" t="str">
        <x:v>Product Completeness</x:v>
      </x:c>
      <x:c r="C26" s="67" t="str">
        <x:v>Tier 3</x:v>
      </x:c>
      <x:c r="D26" s="67" t="str">
        <x:v>Press / Gallery</x:v>
      </x:c>
      <x:c r="E26" s="67" t="str">
        <x:v>Ship only verified public content; leave empty states explicit until evidence exists.</x:v>
      </x:c>
      <x:c r="F26" s="67" t="str">
        <x:v>Brand + Legal</x:v>
      </x:c>
      <x:c r="G26" s="67" t="str">
        <x:v>G4</x:v>
      </x:c>
      <x:c r="H26" s="67" t="str">
        <x:v>G-03 + G-08</x:v>
      </x:c>
      <x:c r="I26" s="67" t="str">
        <x:v>Publication inventory and source approval.</x:v>
      </x:c>
      <x:c r="J26" s="67" t="str">
        <x:v>Open</x:v>
      </x:c>
    </x:row>
    <x:row r="27" ht="38" customHeight="1">
      <x:c r="A27" s="67" t="str">
        <x:v>G-15</x:v>
      </x:c>
      <x:c r="B27" s="67" t="str">
        <x:v>Operational Maturity</x:v>
      </x:c>
      <x:c r="C27" s="67" t="str">
        <x:v>Tier 4</x:v>
      </x:c>
      <x:c r="D27" s="67" t="str">
        <x:v>Design governance</x:v>
      </x:c>
      <x:c r="E27" s="67" t="str">
        <x:v>Reconcile risk taxonomy across registry, UI, legal material, and operations.</x:v>
      </x:c>
      <x:c r="F27" s="67" t="str">
        <x:v>Product + Legal</x:v>
      </x:c>
      <x:c r="G27" s="67" t="str">
        <x:v>G4</x:v>
      </x:c>
      <x:c r="H27" s="67" t="str">
        <x:v>G-01</x:v>
      </x:c>
      <x:c r="I27" s="67" t="str">
        <x:v>Single approved taxonomy and cross-surface review.</x:v>
      </x:c>
      <x:c r="J27" s="67" t="str">
        <x:v>Open</x:v>
      </x:c>
    </x:row>
    <x:row r="28" ht="38" customHeight="1">
      <x:c r="A28" s="67" t="str">
        <x:v>G-16</x:v>
      </x:c>
      <x:c r="B28" s="67" t="str">
        <x:v>Operational Maturity</x:v>
      </x:c>
      <x:c r="C28" s="67" t="str">
        <x:v>Tier 4</x:v>
      </x:c>
      <x:c r="D28" s="67" t="str">
        <x:v>Brand governance</x:v>
      </x:c>
      <x:c r="E28" s="67" t="str">
        <x:v>Reconcile brand voice across public, transactional, and failure states.</x:v>
      </x:c>
      <x:c r="F28" s="67" t="str">
        <x:v>Brand + Product</x:v>
      </x:c>
      <x:c r="G28" s="67" t="str">
        <x:v>G4</x:v>
      </x:c>
      <x:c r="H28" s="67" t="str">
        <x:v>Content inventory</x:v>
      </x:c>
      <x:c r="I28" s="67" t="str">
        <x:v>Brand review and approved copy register.</x:v>
      </x:c>
      <x:c r="J28" s="67" t="str">
        <x:v>Open</x:v>
      </x:c>
    </x:row>
    <x:row r="29" ht="38" customHeight="1">
      <x:c r="A29" s="67" t="str">
        <x:v>G-21</x:v>
      </x:c>
      <x:c r="B29" s="67" t="str">
        <x:v>Operational Maturity</x:v>
      </x:c>
      <x:c r="C29" s="67" t="str">
        <x:v>Tier 2</x:v>
      </x:c>
      <x:c r="D29" s="67" t="str">
        <x:v>Disaster recovery</x:v>
      </x:c>
      <x:c r="E29" s="67" t="str">
        <x:v>Define backup policy, restore testing, RPO, and RTO.</x:v>
      </x:c>
      <x:c r="F29" s="67" t="str">
        <x:v>Operations + Engineering</x:v>
      </x:c>
      <x:c r="G29" s="67" t="str">
        <x:v>G3</x:v>
      </x:c>
      <x:c r="H29" s="67" t="str">
        <x:v>G-05</x:v>
      </x:c>
      <x:c r="I29" s="67" t="str">
        <x:v>Approved policy and successful restore drill.</x:v>
      </x:c>
      <x:c r="J29" s="67" t="str">
        <x:v>Open</x:v>
      </x:c>
    </x:row>
    <x:row r="30" ht="38" customHeight="1">
      <x:c r="A30" s="67" t="str">
        <x:v>G-24</x:v>
      </x:c>
      <x:c r="B30" s="67" t="str">
        <x:v>Operational Maturity</x:v>
      </x:c>
      <x:c r="C30" s="67" t="str">
        <x:v>Tier 2</x:v>
      </x:c>
      <x:c r="D30" s="67" t="str">
        <x:v>Accessibility</x:v>
      </x:c>
      <x:c r="E30" s="67" t="str">
        <x:v>Run WCAG, keyboard, screen-reader, and contrast audit on key flows.</x:v>
      </x:c>
      <x:c r="F30" s="67" t="str">
        <x:v>Product + Engineering</x:v>
      </x:c>
      <x:c r="G30" s="67" t="str">
        <x:v>G4</x:v>
      </x:c>
      <x:c r="H30" s="67" t="str">
        <x:v>Launch candidate</x:v>
      </x:c>
      <x:c r="I30" s="67" t="str">
        <x:v>Audit report; critical defects closed or accepted.</x:v>
      </x:c>
      <x:c r="J30" s="67" t="str">
        <x:v>Open</x:v>
      </x:c>
    </x:row>
    <x:row r="31" ht="38" customHeight="1">
      <x:c r="A31" s="67" t="str">
        <x:v>G-27</x:v>
      </x:c>
      <x:c r="B31" s="67" t="str">
        <x:v>Operational Maturity</x:v>
      </x:c>
      <x:c r="C31" s="67" t="str">
        <x:v>Tier 2</x:v>
      </x:c>
      <x:c r="D31" s="67" t="str">
        <x:v>Data governance</x:v>
      </x:c>
      <x:c r="E31" s="67" t="str">
        <x:v>Define retention, archival, deletion, erasure, and record ownership.</x:v>
      </x:c>
      <x:c r="F31" s="67" t="str">
        <x:v>Legal + Operations</x:v>
      </x:c>
      <x:c r="G31" s="67" t="str">
        <x:v>G3</x:v>
      </x:c>
      <x:c r="H31" s="67" t="str">
        <x:v>G-01 + G-05</x:v>
      </x:c>
      <x:c r="I31" s="67" t="str">
        <x:v>Approved schedule and tested request workflow.</x:v>
      </x:c>
      <x:c r="J31" s="67" t="str">
        <x:v>Open</x:v>
      </x:c>
    </x:row>
    <x:row r="32" ht="38" customHeight="1">
      <x:c r="A32" s="68" t="str">
        <x:v>G-28</x:v>
      </x:c>
      <x:c r="B32" s="68" t="str">
        <x:v>Operational Maturity</x:v>
      </x:c>
      <x:c r="C32" s="68" t="str">
        <x:v>Tier 2</x:v>
      </x:c>
      <x:c r="D32" s="68" t="str">
        <x:v>Business continuity</x:v>
      </x:c>
      <x:c r="E32" s="68" t="str">
        <x:v>Create tested procedures for provider, database, cloud, and rollback outages.</x:v>
      </x:c>
      <x:c r="F32" s="68" t="str">
        <x:v>Operations + Engineering</x:v>
      </x:c>
      <x:c r="G32" s="68" t="str">
        <x:v>G3</x:v>
      </x:c>
      <x:c r="H32" s="68" t="str">
        <x:v>G-21 + G-23</x:v>
      </x:c>
      <x:c r="I32" s="68" t="str">
        <x:v>Runbooks and recorded tabletop exercise.</x:v>
      </x:c>
      <x:c r="J32" s="68" t="str">
        <x:v>Open</x:v>
      </x:c>
    </x:row>
  </x:sheetData>
  <x:mergeCells>
    <x:mergeCell ref="A1:J1"/>
    <x:mergeCell ref="A2:J2"/>
  </x:mergeCells>
  <x:conditionalFormatting sqref="J5:J32">
    <x:cfRule type="containsText" dxfId="9" priority="1" operator="containsText" text="Closed"/>
    <x:cfRule type="containsText" dxfId="10" priority="2" operator="containsText" text="Blocked"/>
  </x:conditionalFormatting>
  <x:dataValidations count="1">
    <x:dataValidation type="list" sqref="J5:J32">
      <x:formula1>"Open,In Progress,Blocked,Ready for Review,Closed"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9" hidden="0" customWidth="1"/>
    <x:col min="3" max="3" width="40" hidden="0" customWidth="1"/>
    <x:col min="4" max="4" width="26" hidden="0" customWidth="1"/>
    <x:col min="5" max="5" width="43" hidden="0" customWidth="1"/>
    <x:col min="6" max="6" width="34" hidden="0" customWidth="1"/>
    <x:col min="7" max="7" width="14" hidden="0" customWidth="1"/>
  </x:cols>
  <x:sheetData>
    <x:row r="1">
      <x:c r="A1" s="103" t="str">
        <x:v>LAUNCH GATES · DECISION PACKET</x:v>
      </x:c>
      <x:c r="B1" s="103"/>
      <x:c r="C1" s="103"/>
      <x:c r="D1" s="103"/>
      <x:c r="E1" s="103"/>
      <x:c r="F1" s="103"/>
      <x:c r="G1" s="103"/>
    </x:row>
    <x:row r="2">
      <x:c r="A2" s="91"/>
      <x:c r="B2" s="91"/>
      <x:c r="C2" s="91"/>
      <x:c r="D2" s="91"/>
      <x:c r="E2" s="91"/>
      <x:c r="F2" s="91"/>
      <x:c r="G2" s="91"/>
    </x:row>
    <x:row r="3">
      <x:c r="A3" s="100" t="str">
        <x:v>Gate</x:v>
      </x:c>
      <x:c r="B3" s="100" t="str">
        <x:v>Decision</x:v>
      </x:c>
      <x:c r="C3" s="100" t="str">
        <x:v>Minimum evidence</x:v>
      </x:c>
      <x:c r="D3" s="100" t="str">
        <x:v>Accountable sign-off</x:v>
      </x:c>
      <x:c r="E3" s="100" t="str">
        <x:v>Pass condition</x:v>
      </x:c>
      <x:c r="F3" s="100" t="str">
        <x:v>If failed</x:v>
      </x:c>
      <x:c r="G3" s="100" t="str">
        <x:v>Status</x:v>
      </x:c>
    </x:row>
    <x:row r="4" ht="48" customHeight="1">
      <x:c r="A4" s="67" t="str">
        <x:v>G0 · Legal boundary</x:v>
      </x:c>
      <x:c r="B4" s="67" t="str">
        <x:v>May any public statement or entity fact remain visible?</x:v>
      </x:c>
      <x:c r="C4" s="67" t="str">
        <x:v>G-01, G-02, G-03 closed.</x:v>
      </x:c>
      <x:c r="D4" s="67" t="str">
        <x:v>Founders / Legal</x:v>
      </x:c>
      <x:c r="E4" s="67" t="str">
        <x:v>Approved document set and verified publication inventory.</x:v>
      </x:c>
      <x:c r="F4" s="67" t="str">
        <x:v>Remove from public visibility; do not launch.</x:v>
      </x:c>
      <x:c r="G4" s="67" t="str">
        <x:v>Open</x:v>
      </x:c>
    </x:row>
    <x:row r="5" ht="48" customHeight="1">
      <x:c r="A5" s="67" t="str">
        <x:v>G1 · Safe entry</x:v>
      </x:c>
      <x:c r="B5" s="67" t="str">
        <x:v>May an invited person identify and interact?</x:v>
      </x:c>
      <x:c r="C5" s="67" t="str">
        <x:v>G-04, G-10, G-11, G-20 closed.</x:v>
      </x:c>
      <x:c r="D5" s="67" t="str">
        <x:v>Engineering + Legal</x:v>
      </x:c>
      <x:c r="E5" s="67" t="str">
        <x:v>Authentication, authorization, abuse, and consent tests pass.</x:v>
      </x:c>
      <x:c r="F5" s="67" t="str">
        <x:v>No pilot; keep sensitive routes unavailable.</x:v>
      </x:c>
      <x:c r="G5" s="67" t="str">
        <x:v>Open</x:v>
      </x:c>
    </x:row>
    <x:row r="6" ht="48" customHeight="1">
      <x:c r="A6" s="67" t="str">
        <x:v>G2 · Governed transaction</x:v>
      </x:c>
      <x:c r="B6" s="67" t="str">
        <x:v>May money or ownership data move?</x:v>
      </x:c>
      <x:c r="C6" s="67" t="str">
        <x:v>G-05, G-06, G-19 closed.</x:v>
      </x:c>
      <x:c r="D6" s="67" t="str">
        <x:v>Engineering + Finance + Legal</x:v>
      </x:c>
      <x:c r="E6" s="67" t="str">
        <x:v>Persisted records, settlement/reconciliation, immutable audit evidence.</x:v>
      </x:c>
      <x:c r="F6" s="67" t="str">
        <x:v>No commitments, calls, payments, or ownership changes.</x:v>
      </x:c>
      <x:c r="G6" s="67" t="str">
        <x:v>Open</x:v>
      </x:c>
    </x:row>
    <x:row r="7" ht="48" customHeight="1">
      <x:c r="A7" s="67" t="str">
        <x:v>G3 · Reliable runtime</x:v>
      </x:c>
      <x:c r="B7" s="67" t="str">
        <x:v>May meaningful external usage begin?</x:v>
      </x:c>
      <x:c r="C7" s="67" t="str">
        <x:v>G-09, G-12, G-18, G-21, G-22, G-23, G-25, G-26, G-27, G-28 closed.</x:v>
      </x:c>
      <x:c r="D7" s="67" t="str">
        <x:v>Engineering + Operations</x:v>
      </x:c>
      <x:c r="E7" s="67" t="str">
        <x:v>Monitoring, security, recovery, release, and governance drills pass.</x:v>
      </x:c>
      <x:c r="F7" s="67" t="str">
        <x:v>Restrict exposure; remediate before scale.</x:v>
      </x:c>
      <x:c r="G7" s="67" t="str">
        <x:v>Open</x:v>
      </x:c>
    </x:row>
    <x:row r="8" ht="48" customHeight="1">
      <x:c r="A8" s="67" t="str">
        <x:v>G4 · Launch candidate</x:v>
      </x:c>
      <x:c r="B8" s="67" t="str">
        <x:v>Is the experience complete and trustworthy?</x:v>
      </x:c>
      <x:c r="C8" s="67" t="str">
        <x:v>G-07, G-08, G-13, G-14, G-15, G-16, G-17, G-24 closed or formally deferred without regulatory/decision impact.</x:v>
      </x:c>
      <x:c r="D8" s="67" t="str">
        <x:v>Product + Brand + Legal</x:v>
      </x:c>
      <x:c r="E8" s="67" t="str">
        <x:v>Public inventory, content provenance, accessibility, and design governance approved.</x:v>
      </x:c>
      <x:c r="F8" s="67" t="str">
        <x:v>Do not broaden launch; remove incomplete scope.</x:v>
      </x:c>
      <x:c r="G8" s="67" t="str">
        <x:v>Open</x:v>
      </x:c>
    </x:row>
    <x:row r="9" ht="48" customHeight="1">
      <x:c r="A9" s="68" t="str">
        <x:v>G5 · Go / No-Go</x:v>
      </x:c>
      <x:c r="B9" s="68" t="str">
        <x:v>May the public launch occur?</x:v>
      </x:c>
      <x:c r="C9" s="68" t="str">
        <x:v>G0–G4 pass; rehearsal complete; no critical unresolved incident.</x:v>
      </x:c>
      <x:c r="D9" s="68" t="str">
        <x:v>Founders</x:v>
      </x:c>
      <x:c r="E9" s="68" t="str">
        <x:v>Signed decision packet with scope, support owner, and rollback authority.</x:v>
      </x:c>
      <x:c r="F9" s="68" t="str">
        <x:v>Hold launch; set new review date after remediation.</x:v>
      </x:c>
      <x:c r="G9" s="68" t="str">
        <x:v>Open</x:v>
      </x:c>
    </x:row>
    <x:row r="10">
      <x:c r="A10" s="91"/>
      <x:c r="B10" s="91"/>
      <x:c r="C10" s="91"/>
      <x:c r="D10" s="91"/>
      <x:c r="E10" s="91"/>
      <x:c r="F10" s="91"/>
      <x:c r="G10" s="91"/>
    </x:row>
    <x:row r="11">
      <x:c r="A11" s="91"/>
      <x:c r="B11" s="91"/>
      <x:c r="C11" s="91"/>
      <x:c r="D11" s="91"/>
      <x:c r="E11" s="91"/>
      <x:c r="F11" s="91"/>
      <x:c r="G11" s="91"/>
    </x:row>
    <x:row r="12" ht="31" customHeight="1">
      <x:c r="A12" s="104" t="str">
        <x:v>RULE: evidence, not optimism. A gap may be accepted only by the accountable owner, and no Tier 1 exception is compatible with a public launch.</x:v>
      </x:c>
      <x:c r="B12" s="105"/>
      <x:c r="C12" s="105"/>
      <x:c r="D12" s="105"/>
      <x:c r="E12" s="105"/>
      <x:c r="F12" s="105"/>
      <x:c r="G12" s="106"/>
    </x:row>
  </x:sheetData>
  <x:mergeCells>
    <x:mergeCell ref="A1:G1"/>
    <x:mergeCell ref="A12:G12"/>
  </x:mergeCells>
  <x:conditionalFormatting sqref="G4:G9">
    <x:cfRule type="containsText" dxfId="11" priority="1" operator="containsText" text="Pass"/>
    <x:cfRule type="containsText" dxfId="12" priority="2" operator="containsText" text="Fail"/>
  </x:conditionalFormatting>
  <x:dataValidations count="1">
    <x:dataValidation type="list" sqref="G4:G9">
      <x:formula1>"Open,Conditional,Pass,Fail"</x:formula1>
    </x:dataValidation>
  </x:dataValidations>
  <x:pageMargins left="0.7" right="0.7" top="0.75" bottom="0.75" header="0.3" footer="0.3"/>
</x:worksheet>
</file>