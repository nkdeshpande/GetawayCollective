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gc-app\"/>
    </mc:Choice>
  </mc:AlternateContent>
  <xr:revisionPtr revIDLastSave="0" documentId="13_ncr:1_{EA4623BF-8F2D-4A56-AB24-D849FEF93A51}" xr6:coauthVersionLast="47" xr6:coauthVersionMax="47" xr10:uidLastSave="{00000000-0000-0000-0000-000000000000}"/>
  <bookViews>
    <workbookView xWindow="38310" yWindow="0" windowWidth="19380" windowHeight="20970" firstSheet="7" activeTab="10" xr2:uid="{00000000-000D-0000-FFFF-FFFF00000000}"/>
  </bookViews>
  <sheets>
    <sheet name="README" sheetId="1" r:id="rId1"/>
    <sheet name="Summary" sheetId="2" r:id="rId2"/>
    <sheet name="IA" sheetId="3" r:id="rId3"/>
    <sheet name="Popups" sheetId="4" r:id="rId4"/>
    <sheet name="Notifications" sheetId="5" r:id="rId5"/>
    <sheet name="Emails" sheetId="6" r:id="rId6"/>
    <sheet name="Gaps" sheetId="7" r:id="rId7"/>
    <sheet name="Decisions" sheetId="8" r:id="rId8"/>
    <sheet name="Assets" sheetId="9" r:id="rId9"/>
    <sheet name="Domain" sheetId="10" r:id="rId10"/>
    <sheet name="Go-live plan" sheetId="13" r:id="rId11"/>
    <sheet name="Gates" sheetId="11" r:id="rId12"/>
    <sheet name="LaunchGates" sheetId="12" r:id="rId13"/>
    <sheet name="Enterprise Operating 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85" i="14" l="1"/>
  <c r="A87" i="14" a="1"/>
  <c r="A87" i="14" s="1"/>
  <c r="A88" i="14" a="1"/>
  <c r="A88" i="14" s="1"/>
  <c r="A90" i="14" a="1"/>
  <c r="A90" i="14" s="1"/>
  <c r="A94" i="14"/>
  <c r="A95" i="14" a="1"/>
  <c r="A95" i="14" s="1"/>
  <c r="A116" i="14" a="1"/>
  <c r="A116" i="14" s="1"/>
  <c r="A130" i="14"/>
  <c r="A131" i="14"/>
  <c r="A132" i="14" a="1"/>
  <c r="A132" i="14" s="1"/>
  <c r="A133" i="14"/>
  <c r="A145" i="14"/>
  <c r="A148" i="14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7" i="2"/>
  <c r="B36" i="2"/>
  <c r="B35" i="2"/>
  <c r="B34" i="2"/>
  <c r="B33" i="2"/>
  <c r="B32" i="2"/>
  <c r="B28" i="2"/>
  <c r="B27" i="2"/>
  <c r="B26" i="2"/>
  <c r="B25" i="2"/>
  <c r="B24" i="2"/>
  <c r="B23" i="2"/>
  <c r="B18" i="2"/>
  <c r="B17" i="2"/>
  <c r="B16" i="2"/>
  <c r="B15" i="2"/>
  <c r="B14" i="2"/>
  <c r="B9" i="2"/>
  <c r="B8" i="2"/>
  <c r="B7" i="2"/>
  <c r="B10" i="2" s="1"/>
  <c r="B6" i="2"/>
  <c r="C8" i="2" l="1"/>
  <c r="C14" i="2"/>
  <c r="C23" i="2"/>
  <c r="C6" i="2"/>
  <c r="C10" i="2"/>
  <c r="C27" i="2"/>
  <c r="C9" i="2"/>
  <c r="C16" i="2"/>
  <c r="C7" i="2"/>
  <c r="B19" i="2"/>
  <c r="B29" i="2"/>
  <c r="C29" i="2" s="1"/>
  <c r="C15" i="2" l="1"/>
  <c r="C19" i="2"/>
  <c r="C26" i="2"/>
  <c r="C25" i="2"/>
  <c r="C18" i="2"/>
  <c r="C28" i="2"/>
  <c r="C24" i="2"/>
  <c r="C1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F5" authorId="0" shapeId="0" xr:uid="{00000000-0006-0000-0700-000001000000}">
      <text>
        <r>
          <rPr>
            <sz val="11"/>
            <color theme="1"/>
            <rFont val="Calibri"/>
          </rPr>
          <t>Fill these four columns. Everything to the left is derived and will be overwritten if this workbook is regenerated.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<sst xmlns="http://schemas.openxmlformats.org/spreadsheetml/2006/main" count="4154" uniqueCount="1952">
  <si>
    <t>Getaway Collective · Build State</t>
  </si>
  <si>
    <t>Generated 1 Aug 2026 from the repository at C:\gc-app, commit d58044a</t>
  </si>
  <si>
    <t>WHAT THIS IS</t>
  </si>
  <si>
    <t>Every addressable surface, pop-up, notification and email in the platform, with what is built, what is not, and what is waiting on you. The Domain sheet carries the constitutional model: the LLP at the apex, Space / Time / Capital beneath it, Governance as the operating law.</t>
  </si>
  <si>
    <t>HOW IT WAS MADE</t>
  </si>
  <si>
    <t>The IA sheet is EXTRACTED, not typed. constants/routes.ts is imported directly and each row's status is read from the generated page file on disk — so this workbook cannot disagree with the application about what exists.</t>
  </si>
  <si>
    <t>THE SOURCE COLUMN</t>
  </si>
  <si>
    <t>The single most important column on every sheet after IA. It separates fact from opinion:</t>
  </si>
  <si>
    <t xml:space="preserve">  Code</t>
  </si>
  <si>
    <t>Extracted from the repository. Verifiable — the file and line are named.</t>
  </si>
  <si>
    <t xml:space="preserve">  Doc</t>
  </si>
  <si>
    <t>Stated in a repository document (WAVE-5-OPEN-QUESTIONS.md, WAVE-6-CHANGELOG.md).</t>
  </si>
  <si>
    <t xml:space="preserve">  Proposed</t>
  </si>
  <si>
    <t>MY RECOMMENDATION. Not in the repo, not agreed by you, and not built. Nothing marked Proposed has been decided.</t>
  </si>
  <si>
    <t>STATUS VALUES</t>
  </si>
  <si>
    <t xml:space="preserve">  Built</t>
  </si>
  <si>
    <t>Renders the real interface.</t>
  </si>
  <si>
    <t xml:space="preserve">  Scaffold</t>
  </si>
  <si>
    <t>Renders the registry Surface: the assembly's declared sections and rules, not the product. It is deliberately obvious that it is a scaffold — a scaffold that looks finished gets signed off.</t>
  </si>
  <si>
    <t xml:space="preserve">  Not built</t>
  </si>
  <si>
    <t>Nothing exists.</t>
  </si>
  <si>
    <t xml:space="preserve">  Framework</t>
  </si>
  <si>
    <t>Handled by a Next.js convention file rather than a page (/404 → not-found.tsx).</t>
  </si>
  <si>
    <t>CELLS YOU EDIT</t>
  </si>
  <si>
    <t>Yellow. They are on the Decisions and Assets sheets — the Decision / Owner / Due / Status columns. Everything else is derived and will be overwritten when this is regenerated.</t>
  </si>
  <si>
    <t>WHAT IS NOT HERE</t>
  </si>
  <si>
    <t>Database, authentication and payments. None of the three exists — every page reads static TypeScript. See the Gaps sheet.</t>
  </si>
  <si>
    <t>Build State · Summary</t>
  </si>
  <si>
    <t>Every figure is a COUNTIF against the IA sheet. Re-derive by regenerating IA; nothing here is typed.</t>
  </si>
  <si>
    <t>BY STATUS</t>
  </si>
  <si>
    <t>Scaffold = renders the registry Surface, which shows the assembly's declared sections and rules. It is the product's outline, not the product.</t>
  </si>
  <si>
    <t>Count</t>
  </si>
  <si>
    <t>% of total</t>
  </si>
  <si>
    <t>Built</t>
  </si>
  <si>
    <t>Scaffold</t>
  </si>
  <si>
    <t>Framework</t>
  </si>
  <si>
    <t>Not built</t>
  </si>
  <si>
    <t>Total</t>
  </si>
  <si>
    <t>BY ACCESS</t>
  </si>
  <si>
    <t>Access is DERIVED from the assembly's vantage, not declared per route. Twelve routes override it, and route-lint refuses an override without a stated reason.</t>
  </si>
  <si>
    <t>public</t>
  </si>
  <si>
    <t>identified</t>
  </si>
  <si>
    <t>accredited</t>
  </si>
  <si>
    <t>member</t>
  </si>
  <si>
    <t>office</t>
  </si>
  <si>
    <t>BY GROUP</t>
  </si>
  <si>
    <t>gateway</t>
  </si>
  <si>
    <t>space</t>
  </si>
  <si>
    <t>capital</t>
  </si>
  <si>
    <t>time</t>
  </si>
  <si>
    <t>admin</t>
  </si>
  <si>
    <t>CROSS-CUT</t>
  </si>
  <si>
    <t>Public AND built</t>
  </si>
  <si>
    <t>What a stranger can actually see today.</t>
  </si>
  <si>
    <t>Public AND scaffold</t>
  </si>
  <si>
    <t>Public URLs that render an outline. These are indexable — the highest-priority build queue.</t>
  </si>
  <si>
    <t>Indexable</t>
  </si>
  <si>
    <t>Must equal the public count: route-lint refuses an indexable route that is not public.</t>
  </si>
  <si>
    <t>Office routes with rights</t>
  </si>
  <si>
    <t>Office routes naming a required right from lib/authority.ts.</t>
  </si>
  <si>
    <t>Dynamic routes</t>
  </si>
  <si>
    <t>Carry at least one [param] segment.</t>
  </si>
  <si>
    <t>Access overrides</t>
  </si>
  <si>
    <t>Each states its reason on the IA sheet.</t>
  </si>
  <si>
    <t>OTHER SHEETS</t>
  </si>
  <si>
    <t>Pop-ups built</t>
  </si>
  <si>
    <t>Pop-ups deliberately none</t>
  </si>
  <si>
    <t>Pop-ups to build</t>
  </si>
  <si>
    <t>Notifications firing today</t>
  </si>
  <si>
    <t>Notifications to build</t>
  </si>
  <si>
    <t>Emails live</t>
  </si>
  <si>
    <t>Emails to build</t>
  </si>
  <si>
    <t>Open gaps</t>
  </si>
  <si>
    <t>Decisions awaiting you</t>
  </si>
  <si>
    <t>Assets outstanding</t>
  </si>
  <si>
    <t>Domain constituents</t>
  </si>
  <si>
    <t>— backed by ratified object/field</t>
  </si>
  <si>
    <t>— derived or executable law</t>
  </si>
  <si>
    <t>— registered gaps (§33 queue)</t>
  </si>
  <si>
    <t>— out of scope by direction</t>
  </si>
  <si>
    <t>Information Architecture</t>
  </si>
  <si>
    <t>Every URL in the system. Extracted from constants/routes.ts; Status read from the generated page file on disk. Nothing else in the platform holds a URL — a path not on this sheet does not exist.</t>
  </si>
  <si>
    <t>Path</t>
  </si>
  <si>
    <t>Name</t>
  </si>
  <si>
    <t>Group</t>
  </si>
  <si>
    <t>Vantage</t>
  </si>
  <si>
    <t>Access</t>
  </si>
  <si>
    <t>Assembly</t>
  </si>
  <si>
    <t>Assembly Name</t>
  </si>
  <si>
    <t>Status</t>
  </si>
  <si>
    <t>Rendered By</t>
  </si>
  <si>
    <t>Module</t>
  </si>
  <si>
    <t>Rights</t>
  </si>
  <si>
    <t>Params</t>
  </si>
  <si>
    <t>Access Override — why</t>
  </si>
  <si>
    <t>Notes</t>
  </si>
  <si>
    <t>/</t>
  </si>
  <si>
    <t>Home</t>
  </si>
  <si>
    <t>yes</t>
  </si>
  <si>
    <t>AS-32</t>
  </si>
  <si>
    <t>The Public Surface</t>
  </si>
  <si>
    <t>Root</t>
  </si>
  <si>
    <t>publicpages</t>
  </si>
  <si>
    <t>Hero region, then routes into the collection. No figure above the fold.</t>
  </si>
  <si>
    <t>/403</t>
  </si>
  <si>
    <t>Not Permitted</t>
  </si>
  <si>
    <t>AS-16</t>
  </si>
  <si>
    <t>Signal Lost</t>
  </si>
  <si>
    <t>Composed</t>
  </si>
  <si>
    <t>compose</t>
  </si>
  <si>
    <t>Says the viewer may not see it. Never says whether it EXISTS — that distinction leaks the shape of the system to anyone probing it.</t>
  </si>
  <si>
    <t>/404</t>
  </si>
  <si>
    <t>Not Found</t>
  </si>
  <si>
    <t>No stack trace, no exception name, no auto-redirect. [extract] No page.tsx: Next.js serves this from app/not-found.tsx / app/error.tsx by convention.</t>
  </si>
  <si>
    <t>/500</t>
  </si>
  <si>
    <t>System Error</t>
  </si>
  <si>
    <t>[extract] No page.tsx: Next.js serves this from app/not-found.tsx / app/error.tsx by convention.</t>
  </si>
  <si>
    <t>/answers</t>
  </si>
  <si>
    <t>Answers</t>
  </si>
  <si>
    <t>AS-17</t>
  </si>
  <si>
    <t>The Knowledge Base</t>
  </si>
  <si>
    <t>gatewaypages</t>
  </si>
  <si>
    <t>/auth/sign-in</t>
  </si>
  <si>
    <t>Identify</t>
  </si>
  <si>
    <t>No password is ever handled by the design system. Delegated.</t>
  </si>
  <si>
    <t>/auth/sign-out</t>
  </si>
  <si>
    <t>Sign Out</t>
  </si>
  <si>
    <t>/auth/verify</t>
  </si>
  <si>
    <t>Verify</t>
  </si>
  <si>
    <t>The token arrives as a QUERY parameter, not a path segment, and it is not declared as a param for that reason. It is in the URL at all only because an email link has no other carrier — so it is single-use, short-lived, and stripped from the address bar on arrival. A URL is written to server logs, browser history and referrer headers.</t>
  </si>
  <si>
    <t>/collection</t>
  </si>
  <si>
    <t>The Collection</t>
  </si>
  <si>
    <t>AS-01</t>
  </si>
  <si>
    <t>The Gateway Grid</t>
  </si>
  <si>
    <t>GatewayGrid</t>
  </si>
  <si>
    <t>/collective/gallery</t>
  </si>
  <si>
    <t>The Evidence Portfolio</t>
  </si>
  <si>
    <t>Evidence</t>
  </si>
  <si>
    <t>PUB.08. Ships empty: every plate must say whether it is a photograph, a render or a drawing, and a portfolio of renders shown as photographs is the commonest misrepresentation in this industry. /gallery (AS-09) is a property gallery and is a different thing; both are retained.</t>
  </si>
  <si>
    <t>/collective/operators</t>
  </si>
  <si>
    <t>The Operators</t>
  </si>
  <si>
    <t>Operators</t>
  </si>
  <si>
    <t>PUB.06 — what runs a property, and who is accountable when it does not.</t>
  </si>
  <si>
    <t>/collective/partners</t>
  </si>
  <si>
    <t>The Foundation</t>
  </si>
  <si>
    <t>Partners</t>
  </si>
  <si>
    <t>PUB.05 — the independent firms. Ships with functions stated and holders withheld until each engagement is recorded against the vehicle it serves.</t>
  </si>
  <si>
    <t>/collective/press</t>
  </si>
  <si>
    <t>The Wire</t>
  </si>
  <si>
    <t>Wire</t>
  </si>
  <si>
    <t>PUB.10 — external coverage. Ships empty and says so; the wireframe's six clippings were quotes attributed to real publications that have not published them.</t>
  </si>
  <si>
    <t>/communique/request</t>
  </si>
  <si>
    <t>Request the Dossier</t>
  </si>
  <si>
    <t>Dossier</t>
  </si>
  <si>
    <t>PUB.07 — the intelligence pack. What requesting it creates is stated above the form.</t>
  </si>
  <si>
    <t>/gallery</t>
  </si>
  <si>
    <t>Gallery</t>
  </si>
  <si>
    <t>AS-09</t>
  </si>
  <si>
    <t>The Gallery Frame</t>
  </si>
  <si>
    <t>/how-it-works</t>
  </si>
  <si>
    <t>How It Works</t>
  </si>
  <si>
    <t>HowItWorks</t>
  </si>
  <si>
    <t>PUB.02 / PUB.11 — the doctrine, then a hard cut to the arithmetic. Distinct from /how-capital-works, which is the waterfall itself rather than the argument for it.</t>
  </si>
  <si>
    <t>/journal</t>
  </si>
  <si>
    <t>The Journal</t>
  </si>
  <si>
    <t>AS-30</t>
  </si>
  <si>
    <t>JournalIndex</t>
  </si>
  <si>
    <t>documents</t>
  </si>
  <si>
    <t>Index. Entries newest first; the order is checked at load.</t>
  </si>
  <si>
    <t>/journal/[slug]</t>
  </si>
  <si>
    <t>Journal Entry</t>
  </si>
  <si>
    <t>JournalEntry</t>
  </si>
  <si>
    <t>slug</t>
  </si>
  <si>
    <t>One entry. Figures are read from the registries, never typed into the prose.</t>
  </si>
  <si>
    <t>/legal</t>
  </si>
  <si>
    <t>Legal</t>
  </si>
  <si>
    <t>AS-29</t>
  </si>
  <si>
    <t>The Standing Document</t>
  </si>
  <si>
    <t>DocumentIndex</t>
  </si>
  <si>
    <t>Index of the standing documents.</t>
  </si>
  <si>
    <t>/legal/accessibility</t>
  </si>
  <si>
    <t>Accessibility Statement</t>
  </si>
  <si>
    <t>StandingDoc</t>
  </si>
  <si>
    <t>States what has been tested and what has not. Currently: contrast computed, no assistive-technology testing performed.</t>
  </si>
  <si>
    <t>/legal/complaints</t>
  </si>
  <si>
    <t>Complaints Procedure</t>
  </si>
  <si>
    <t>/legal/cookies</t>
  </si>
  <si>
    <t>Cookie Notice</t>
  </si>
  <si>
    <t>/legal/disclosures</t>
  </si>
  <si>
    <t>Standing Disclosures</t>
  </si>
  <si>
    <t>Capital at risk, past performance, no guarantee. Body size, reading tone.</t>
  </si>
  <si>
    <t>/legal/privacy</t>
  </si>
  <si>
    <t>Privacy Notice</t>
  </si>
  <si>
    <t>/legal/terms</t>
  </si>
  <si>
    <t>Terms and Conditions</t>
  </si>
  <si>
    <t>/maintenance</t>
  </si>
  <si>
    <t>Maintenance</t>
  </si>
  <si>
    <t>AS-15</t>
  </si>
  <si>
    <t>System Status</t>
  </si>
  <si>
    <t>/portfolio</t>
  </si>
  <si>
    <t>The Portfolio</t>
  </si>
  <si>
    <t>AS-07</t>
  </si>
  <si>
    <t>The Portfolio Narrative</t>
  </si>
  <si>
    <t>Portfolio</t>
  </si>
  <si>
    <t>/roles</t>
  </si>
  <si>
    <t>Open Roles</t>
  </si>
  <si>
    <t>AS-18</t>
  </si>
  <si>
    <t>Recruitment</t>
  </si>
  <si>
    <t>Roles</t>
  </si>
  <si>
    <t>/roles/[code]</t>
  </si>
  <si>
    <t>Role</t>
  </si>
  <si>
    <t>RoleDetail</t>
  </si>
  <si>
    <t>code</t>
  </si>
  <si>
    <t>/search</t>
  </si>
  <si>
    <t>Search</t>
  </si>
  <si>
    <t>no</t>
  </si>
  <si>
    <t>Results are scoped to what the viewer may see, which requires knowing who they are. An anonymous search would either return nothing or leak the index.</t>
  </si>
  <si>
    <t>/signal</t>
  </si>
  <si>
    <t>The Signal</t>
  </si>
  <si>
    <t>Signal</t>
  </si>
  <si>
    <t>PUB.09 — the weekly transmission. No tuner gate; the form is simply present.</t>
  </si>
  <si>
    <t>/space</t>
  </si>
  <si>
    <t>Space</t>
  </si>
  <si>
    <t>The physical product: what is built, from what, and what it takes to keep standing.</t>
  </si>
  <si>
    <t>/status</t>
  </si>
  <si>
    <t>/story</t>
  </si>
  <si>
    <t>Story</t>
  </si>
  <si>
    <t>AS-08</t>
  </si>
  <si>
    <t>The Story Playback</t>
  </si>
  <si>
    <t>/structure</t>
  </si>
  <si>
    <t>The Vehicle</t>
  </si>
  <si>
    <t>Structure</t>
  </si>
  <si>
    <t>From the PUB.01 footer, which calls it SPV Structure. The constitutional default is an LLP; an SPV needs Board approval per property, and the page says so.</t>
  </si>
  <si>
    <t>/time</t>
  </si>
  <si>
    <t>Time</t>
  </si>
  <si>
    <t>Entitlement: what it is, what it is not, and when it begins. The wireframe's exchange console is stated as unbuilt rather than described as though it exists.</t>
  </si>
  <si>
    <t>/voices</t>
  </si>
  <si>
    <t>Voices</t>
  </si>
  <si>
    <t>AS-24</t>
  </si>
  <si>
    <t>Testimonials</t>
  </si>
  <si>
    <t>Testimonials. No figure, no return, no performance reference — regulated speech.</t>
  </si>
  <si>
    <t>/collection/[property]</t>
  </si>
  <si>
    <t>Property</t>
  </si>
  <si>
    <t>AS-03</t>
  </si>
  <si>
    <t>The Property Masthead</t>
  </si>
  <si>
    <t>PropertyMasthead</t>
  </si>
  <si>
    <t>property</t>
  </si>
  <si>
    <t>/collection/[property]/capital</t>
  </si>
  <si>
    <t>Capital</t>
  </si>
  <si>
    <t>The Capital LENS at the space vantage. Renders AP-03 and routes to the console; it does not render console disclosure because a tab is labelled Capital.</t>
  </si>
  <si>
    <t>/collection/[property]/gallery</t>
  </si>
  <si>
    <t>AS-10</t>
  </si>
  <si>
    <t>The Gallery Strip</t>
  </si>
  <si>
    <t>/collection/[property]/location</t>
  </si>
  <si>
    <t>Location</t>
  </si>
  <si>
    <t>AS-12</t>
  </si>
  <si>
    <t>Location Intelligence</t>
  </si>
  <si>
    <t>/collection/[property]/space</t>
  </si>
  <si>
    <t>/collection/[property]/time</t>
  </si>
  <si>
    <t>/flow</t>
  </si>
  <si>
    <t>SlowSpace Coastal</t>
  </si>
  <si>
    <t>Offering</t>
  </si>
  <si>
    <t>flow</t>
  </si>
  <si>
    <t>Step 1 of 5. The offering at the space vantage: capital stack, six-stage waterfall, governance and programme, each carrying its confidence class.</t>
  </si>
  <si>
    <t>/capital</t>
  </si>
  <si>
    <t>Capital Console</t>
  </si>
  <si>
    <t>AS-02</t>
  </si>
  <si>
    <t>The Property Console</t>
  </si>
  <si>
    <t>portfolio.manage</t>
  </si>
  <si>
    <t>/capital/calls</t>
  </si>
  <si>
    <t>Capital Calls</t>
  </si>
  <si>
    <t>AS-26</t>
  </si>
  <si>
    <t>The Capital Call</t>
  </si>
  <si>
    <t>capital.call</t>
  </si>
  <si>
    <t>/capital/distributions</t>
  </si>
  <si>
    <t>Distributions</t>
  </si>
  <si>
    <t>distribution.execute</t>
  </si>
  <si>
    <t>/capital/distributions/[ref]</t>
  </si>
  <si>
    <t>Distribution</t>
  </si>
  <si>
    <t>ref</t>
  </si>
  <si>
    <t>/capital/offerings</t>
  </si>
  <si>
    <t>Offerings</t>
  </si>
  <si>
    <t>offering.open</t>
  </si>
  <si>
    <t>/capital/properties</t>
  </si>
  <si>
    <t>Properties</t>
  </si>
  <si>
    <t>/capital/properties/[id]</t>
  </si>
  <si>
    <t>Property Console</t>
  </si>
  <si>
    <t>id</t>
  </si>
  <si>
    <t>/capital/properties/[id]/programme</t>
  </si>
  <si>
    <t>Programme</t>
  </si>
  <si>
    <t>AS-11</t>
  </si>
  <si>
    <t>The Stage Progression</t>
  </si>
  <si>
    <t>property.advance_lifecycle</t>
  </si>
  <si>
    <t>/capital/properties/[id]/valuations</t>
  </si>
  <si>
    <t>Valuations</t>
  </si>
  <si>
    <t>valuation.record</t>
  </si>
  <si>
    <t>/capital/risk</t>
  </si>
  <si>
    <t>Risk Register</t>
  </si>
  <si>
    <t>AS-28</t>
  </si>
  <si>
    <t>The Risk Register</t>
  </si>
  <si>
    <t>compliance.record</t>
  </si>
  <si>
    <t>/capital/waterfall</t>
  </si>
  <si>
    <t>Waterfall</t>
  </si>
  <si>
    <t>AS-04</t>
  </si>
  <si>
    <t>The Capital Explainer</t>
  </si>
  <si>
    <t>CapitalExplainer</t>
  </si>
  <si>
    <t>/commit/[offering]</t>
  </si>
  <si>
    <t>Commit</t>
  </si>
  <si>
    <t>AS-06</t>
  </si>
  <si>
    <t>The Commitment Flow</t>
  </si>
  <si>
    <t>offering</t>
  </si>
  <si>
    <t>An Investor commits BEFORE membership exists — the Member Law fires on settlement, not here. Requiring member access would make it unreachable by anyone who could use it.</t>
  </si>
  <si>
    <t>/commit/[offering]/execute</t>
  </si>
  <si>
    <t>Execute</t>
  </si>
  <si>
    <t>AS-19</t>
  </si>
  <si>
    <t>The Ledger Lock</t>
  </si>
  <si>
    <t>The execution sequence for a commitment made before membership exists.</t>
  </si>
  <si>
    <t>/commit/[offering]/risk</t>
  </si>
  <si>
    <t>Risk Disclosure</t>
  </si>
  <si>
    <t>AS-14</t>
  </si>
  <si>
    <t>The Risk Disclosure</t>
  </si>
  <si>
    <t>The gate immediately before commitment, on the same path and for the same reason.</t>
  </si>
  <si>
    <t>/flow/commit</t>
  </si>
  <si>
    <t>A worked demonstration of the whole arc, on illustrative data for a fictional partner rather than a real position. Public because the point is that a prospective investor can see every step - including the accreditation and disclosure they would meet later - before committing to any of it.</t>
  </si>
  <si>
    <t>Step 4. The piston, 3000ms linear. States Committed, never Member.</t>
  </si>
  <si>
    <t>/flow/risk</t>
  </si>
  <si>
    <t>RiskDisclosure</t>
  </si>
  <si>
    <t>Step 3. Seven clauses in severity order, on paper. The gate opens on reaching the end by any route.</t>
  </si>
  <si>
    <t>/how-capital-works</t>
  </si>
  <si>
    <t>How Capital Works</t>
  </si>
  <si>
    <t>The waterfall explainer is the single most important thing a prospective investor can read before committing, and putting it behind a sign-in would mean the disclosure only reaches people who have already decided.</t>
  </si>
  <si>
    <t>/legal/risk-disclosure</t>
  </si>
  <si>
    <t>It gates commitment, and it is also the document a prospective investor most needs to read before deciding whether to start. Public to read; the ACKNOWLEDGEMENT still requires identity and is recorded against a version.</t>
  </si>
  <si>
    <t>/member/entitlement</t>
  </si>
  <si>
    <t>Entitlement</t>
  </si>
  <si>
    <t>AS-25</t>
  </si>
  <si>
    <t>The Time Ledger</t>
  </si>
  <si>
    <t>/member/entitlement/[year]</t>
  </si>
  <si>
    <t>Entitlement Year</t>
  </si>
  <si>
    <t>year</t>
  </si>
  <si>
    <t>/flow/accreditation</t>
  </si>
  <si>
    <t>Accreditation</t>
  </si>
  <si>
    <t>Step 2. PR-01, resumable - each field saves on blur to a draft record.</t>
  </si>
  <si>
    <t>/flow/settled</t>
  </si>
  <si>
    <t>Settled</t>
  </si>
  <si>
    <t>Step 5. The first screen where the Member Law has fired.</t>
  </si>
  <si>
    <t>/member</t>
  </si>
  <si>
    <t>Your Position</t>
  </si>
  <si>
    <t>AS-05</t>
  </si>
  <si>
    <t>The Member Console</t>
  </si>
  <si>
    <t>/member/calibration</t>
  </si>
  <si>
    <t>Unit Calibration</t>
  </si>
  <si>
    <t>AS-33</t>
  </si>
  <si>
    <t>The Member Surface</t>
  </si>
  <si>
    <t>Calibration</t>
  </si>
  <si>
    <t>memberpages</t>
  </si>
  <si>
    <t>MEM.05. Every control is real and none can be transmitted: the property is at pre-construction, so there is no management system to reach.</t>
  </si>
  <si>
    <t>/member/calls</t>
  </si>
  <si>
    <t>/member/calls/[ref]</t>
  </si>
  <si>
    <t>Capital Call</t>
  </si>
  <si>
    <t>Default consequences render in full above the payment control.</t>
  </si>
  <si>
    <t>/member/codex</t>
  </si>
  <si>
    <t>The Codex</t>
  </si>
  <si>
    <t>Codex</t>
  </si>
  <si>
    <t>MEM.07. The manual for one property. The conduct-linked forced buyback the source specifies is marked as not drafted and not in force.</t>
  </si>
  <si>
    <t>/member/distributions</t>
  </si>
  <si>
    <t>/member/distributions/[ref]</t>
  </si>
  <si>
    <t>/member/documents</t>
  </si>
  <si>
    <t>Documents</t>
  </si>
  <si>
    <t>/member/documents/[id]</t>
  </si>
  <si>
    <t>Document</t>
  </si>
  <si>
    <t>/member/holdings</t>
  </si>
  <si>
    <t>Holdings</t>
  </si>
  <si>
    <t>/member/holdings/[property]</t>
  </si>
  <si>
    <t>Holding</t>
  </si>
  <si>
    <t>/member/notifications</t>
  </si>
  <si>
    <t>Notifications</t>
  </si>
  <si>
    <t>The alert centre. A system ticker (SIGNAL_APERTURE) never lands here; only things asked of the member do.</t>
  </si>
  <si>
    <t>/member/pass</t>
  </si>
  <si>
    <t>Access Credentials</t>
  </si>
  <si>
    <t>Pass</t>
  </si>
  <si>
    <t>MEM.08. Issuing spends your nights and puts the visitor's conduct on your record.</t>
  </si>
  <si>
    <t>/member/position</t>
  </si>
  <si>
    <t>Position</t>
  </si>
  <si>
    <t>/member/profile</t>
  </si>
  <si>
    <t>Passport</t>
  </si>
  <si>
    <t>/member/reports</t>
  </si>
  <si>
    <t>Reports</t>
  </si>
  <si>
    <t>/member/resolutions</t>
  </si>
  <si>
    <t>Resolutions</t>
  </si>
  <si>
    <t>Boardroom</t>
  </si>
  <si>
    <t>/member/resolutions/[ref]</t>
  </si>
  <si>
    <t>Ballot</t>
  </si>
  <si>
    <t>AS-27</t>
  </si>
  <si>
    <t>The Ballot</t>
  </si>
  <si>
    <t>Sealed at every vantage. The confirmation never echoes the choice.</t>
  </si>
  <si>
    <t>/member/settings</t>
  </si>
  <si>
    <t>Settings</t>
  </si>
  <si>
    <t>/member/settings/notifications</t>
  </si>
  <si>
    <t>Notification Settings</t>
  </si>
  <si>
    <t>/member/settings/security</t>
  </si>
  <si>
    <t>Security</t>
  </si>
  <si>
    <t>/member/settings/tax</t>
  </si>
  <si>
    <t>Tax Details</t>
  </si>
  <si>
    <t>/member/signal</t>
  </si>
  <si>
    <t>SignalLog</t>
  </si>
  <si>
    <t>MEM.06. A written, asynchronous record with the operating partner. No presence indicator and no typing state — both promise an immediacy the queue does not have.</t>
  </si>
  <si>
    <t>/passport</t>
  </si>
  <si>
    <t>Your Passport</t>
  </si>
  <si>
    <t>The passport is how someone BECOMES a member. Requiring membership to reach it would close the only door into the system.</t>
  </si>
  <si>
    <t>/passport/accreditation</t>
  </si>
  <si>
    <t>Passport · accreditation</t>
  </si>
  <si>
    <t>Accreditation is reached before membership exists, by definition — the Member Law fires on settlement, and settlement cannot happen until accreditation has. Requiring member access here would close the only door into the system.</t>
  </si>
  <si>
    <t>/passport/address</t>
  </si>
  <si>
    <t>Passport · address</t>
  </si>
  <si>
    <t>/passport/annual-review</t>
  </si>
  <si>
    <t>Passport · annual review</t>
  </si>
  <si>
    <t>/passport/decision</t>
  </si>
  <si>
    <t>Passport · decision</t>
  </si>
  <si>
    <t>/passport/discover</t>
  </si>
  <si>
    <t>Passport · discover</t>
  </si>
  <si>
    <t>Stage 1 of 16. Resumable — each field autosaves on blur to a draft record, which is what makes PR-01 genuinely resumable rather than a second mechanism.</t>
  </si>
  <si>
    <t>/passport/documents</t>
  </si>
  <si>
    <t>Passport · documents</t>
  </si>
  <si>
    <t>/passport/eligibility</t>
  </si>
  <si>
    <t>Passport · eligibility</t>
  </si>
  <si>
    <t>/passport/identity</t>
  </si>
  <si>
    <t>Passport · identity</t>
  </si>
  <si>
    <t>/passport/issued</t>
  </si>
  <si>
    <t>Passport · issued</t>
  </si>
  <si>
    <t>/passport/profile</t>
  </si>
  <si>
    <t>Passport · profile</t>
  </si>
  <si>
    <t>/passport/review</t>
  </si>
  <si>
    <t>Passport · review</t>
  </si>
  <si>
    <t>/passport/risk-profile</t>
  </si>
  <si>
    <t>Passport · risk profile</t>
  </si>
  <si>
    <t>/passport/screening</t>
  </si>
  <si>
    <t>Passport · screening</t>
  </si>
  <si>
    <t>/passport/source-of-funds</t>
  </si>
  <si>
    <t>Passport · source of funds</t>
  </si>
  <si>
    <t>/passport/suitability</t>
  </si>
  <si>
    <t>Passport · suitability</t>
  </si>
  <si>
    <t>/passport/tax-residency</t>
  </si>
  <si>
    <t>Passport · tax residency</t>
  </si>
  <si>
    <t>/admin</t>
  </si>
  <si>
    <t>Administration</t>
  </si>
  <si>
    <t>organization.register</t>
  </si>
  <si>
    <t>/admin/authority</t>
  </si>
  <si>
    <t>Authority</t>
  </si>
  <si>
    <t>authority.grant</t>
  </si>
  <si>
    <t>/admin/authority/grants</t>
  </si>
  <si>
    <t>Grants</t>
  </si>
  <si>
    <t>/admin/authority/revocations</t>
  </si>
  <si>
    <t>Revocations</t>
  </si>
  <si>
    <t>authority.revoke</t>
  </si>
  <si>
    <t>/admin/compliance</t>
  </si>
  <si>
    <t>Compliance</t>
  </si>
  <si>
    <t>/admin/compliance/accreditation</t>
  </si>
  <si>
    <t>Accreditation Queue</t>
  </si>
  <si>
    <t>accreditation.grant</t>
  </si>
  <si>
    <t>/admin/compliance/conflicts</t>
  </si>
  <si>
    <t>Conflict Register</t>
  </si>
  <si>
    <t>conflict.disclose</t>
  </si>
  <si>
    <t>/admin/compliance/events</t>
  </si>
  <si>
    <t>Compliance Events</t>
  </si>
  <si>
    <t>/admin/content</t>
  </si>
  <si>
    <t>Content</t>
  </si>
  <si>
    <t>AS-34</t>
  </si>
  <si>
    <t>The Admin Surface</t>
  </si>
  <si>
    <t>ContentAdmin</t>
  </si>
  <si>
    <t>adminpages</t>
  </si>
  <si>
    <t>content.publish</t>
  </si>
  <si>
    <t>Every content class, its source, whether it binds and whether it is versioned.</t>
  </si>
  <si>
    <t>/admin/failure</t>
  </si>
  <si>
    <t>Constitutional Failure</t>
  </si>
  <si>
    <t>constitutional_failure.declare</t>
  </si>
  <si>
    <t>CF-01..CF-06. The gravest surface in the system and the least used. Declaring a failure requires a resolution reference, not a role — there is no login that can do this alone.</t>
  </si>
  <si>
    <t>/admin/governance</t>
  </si>
  <si>
    <t>Governance</t>
  </si>
  <si>
    <t>resolution.table</t>
  </si>
  <si>
    <t>/admin/governance/committees</t>
  </si>
  <si>
    <t>Committees</t>
  </si>
  <si>
    <t>committee.constitute</t>
  </si>
  <si>
    <t>/admin/governance/policies</t>
  </si>
  <si>
    <t>Policies</t>
  </si>
  <si>
    <t>policy.approve</t>
  </si>
  <si>
    <t>/admin/governance/resolutions</t>
  </si>
  <si>
    <t>/admin/governance/resolutions/[ref]</t>
  </si>
  <si>
    <t>Resolution</t>
  </si>
  <si>
    <t>resolution.resolve</t>
  </si>
  <si>
    <t>Results only. Admin is NOT an exception to I-05 — it is the vantage most likely to assume it is.</t>
  </si>
  <si>
    <t>/admin/ledger</t>
  </si>
  <si>
    <t>Ledger</t>
  </si>
  <si>
    <t>capital.deploy</t>
  </si>
  <si>
    <t>/admin/media</t>
  </si>
  <si>
    <t>Media</t>
  </si>
  <si>
    <t>MediaAdmin</t>
  </si>
  <si>
    <t>media.manage</t>
  </si>
  <si>
    <t>Three kinds, required at registration with no default. A render registered as a photograph is a misrepresentation that needs no words.</t>
  </si>
  <si>
    <t>/admin/reports</t>
  </si>
  <si>
    <t>report.publish</t>
  </si>
  <si>
    <t>/admin/research</t>
  </si>
  <si>
    <t>Research</t>
  </si>
  <si>
    <t>diligence.complete</t>
  </si>
  <si>
    <t>/admin/telemetry</t>
  </si>
  <si>
    <t>Telemetry</t>
  </si>
  <si>
    <t>/admin/vehicles</t>
  </si>
  <si>
    <t>Vehicles</t>
  </si>
  <si>
    <t>AS-13</t>
  </si>
  <si>
    <t>The LLP Docket</t>
  </si>
  <si>
    <t>vehicle.form</t>
  </si>
  <si>
    <t>/admin/vehicles/[llpin]</t>
  </si>
  <si>
    <t>Docket</t>
  </si>
  <si>
    <t>llpin</t>
  </si>
  <si>
    <t>/admin/vehicles/[llpin]/audit</t>
  </si>
  <si>
    <t>Docket Audit</t>
  </si>
  <si>
    <t>/admin/vehicles/[llpin]/charges</t>
  </si>
  <si>
    <t>Charges</t>
  </si>
  <si>
    <t>/admin/vehicles/[llpin]/filings</t>
  </si>
  <si>
    <t>Statutory Calendar</t>
  </si>
  <si>
    <t>/admin/vehicles/[llpin]/formation</t>
  </si>
  <si>
    <t>Formation</t>
  </si>
  <si>
    <t>/admin/vehicles/[llpin]/partners</t>
  </si>
  <si>
    <t>Register of Partners</t>
  </si>
  <si>
    <t>/admin/vehicles/[llpin]/resolutions</t>
  </si>
  <si>
    <t>/admin/vehicles/new</t>
  </si>
  <si>
    <t>Form a Vehicle</t>
  </si>
  <si>
    <t>VehicleFormation</t>
  </si>
  <si>
    <t>Eight stages. Two irreversible, two gated on Board approval. §24a: the LLP is the default and any other legal form needs a resolution naming the specific property.</t>
  </si>
  <si>
    <t>Pop-ups, Modals &amp; Dialogs</t>
  </si>
  <si>
    <t>Two are built. The rest are proposed — read the Source column before treating any row as agreed. Every modal in this system closes on Escape AND on the backdrop, and its close control says Close, never Agree: a dialog whose only exit is 'I agree' collects consent from people trying to get rid of it.</t>
  </si>
  <si>
    <t>ID</t>
  </si>
  <si>
    <t>Where</t>
  </si>
  <si>
    <t>Trigger</t>
  </si>
  <si>
    <t>What it does</t>
  </si>
  <si>
    <t>Ground</t>
  </si>
  <si>
    <t>Source</t>
  </si>
  <si>
    <t>P-01</t>
  </si>
  <si>
    <t>Read the Terms and Conditions button</t>
  </si>
  <si>
    <t>Renders the full T&amp;C document over the form. Gates the agreement checkbox — the box enables only once the document has been opened.</t>
  </si>
  <si>
    <t>Paper</t>
  </si>
  <si>
    <t>Code</t>
  </si>
  <si>
    <t>app/_assemblies/flow.tsx:577. Opens IN PLACE rather than linking away: a link loses the half-filled application. Does NOT require scrolling to the end — scroll position is not reading, and a keyboard user never fires a scroll handler.</t>
  </si>
  <si>
    <t>P-02</t>
  </si>
  <si>
    <t>Click a frame</t>
  </si>
  <si>
    <t>Lightbox. Arrow keys step, Escape closes, close control always visible.</t>
  </si>
  <si>
    <t>Void</t>
  </si>
  <si>
    <t>app/_assemblies/gatewaypages.tsx:229. Close is never hover-revealed and never in a vanishing corner.</t>
  </si>
  <si>
    <t>P-03</t>
  </si>
  <si>
    <t>All pages</t>
  </si>
  <si>
    <t>First visit</t>
  </si>
  <si>
    <t>Cookie / consent banner.</t>
  </si>
  <si>
    <t>Proposed</t>
  </si>
  <si>
    <t>/legal/cookies exists as a document with no banner in front of it. REQUIRED for DPDP and GDPR if you take EU traffic. Must default to declining non-essential.</t>
  </si>
  <si>
    <t>P-04</t>
  </si>
  <si>
    <t>Navigating away mid-form</t>
  </si>
  <si>
    <t>Unsaved-changes guard.</t>
  </si>
  <si>
    <t>The form autosaves on blur, so this is lower risk than usual — but a half-finished PAN field is lost on a back button today.</t>
  </si>
  <si>
    <t>P-05</t>
  </si>
  <si>
    <t>Any authenticated surface</t>
  </si>
  <si>
    <t>Session nearing expiry</t>
  </si>
  <si>
    <t>Session-expiry warning with an extend control.</t>
  </si>
  <si>
    <t>Blocked: no authentication exists. Build with Clerk, not before.</t>
  </si>
  <si>
    <t>P-06</t>
  </si>
  <si>
    <t>Cast a vote</t>
  </si>
  <si>
    <t>Vote confirmation. Contribution-weighted, irreversible, and states the weight being cast.</t>
  </si>
  <si>
    <t>A vote is irreversible under §24a. It needs the same deliberation treatment as the commitment piston, not an OK button.</t>
  </si>
  <si>
    <t>P-07</t>
  </si>
  <si>
    <t>Upload</t>
  </si>
  <si>
    <t>File picker with type, dimension and licence capture.</t>
  </si>
  <si>
    <t>The media admin surface is built; the upload path is not. Blocked on Vercel Blob.</t>
  </si>
  <si>
    <t>P-08</t>
  </si>
  <si>
    <t>Submit formation</t>
  </si>
  <si>
    <t>Confirm-before-create for a new LLP.</t>
  </si>
  <si>
    <t>Creates a constitutional entity. Should require a resolution reference, not a click.</t>
  </si>
  <si>
    <t>P-09</t>
  </si>
  <si>
    <t>Global</t>
  </si>
  <si>
    <t>A destructive admin action</t>
  </si>
  <si>
    <t>Confirm-destructive dialog. Types the object name to confirm.</t>
  </si>
  <si>
    <t>No destructive admin action is wired yet, so nothing is at risk today.</t>
  </si>
  <si>
    <t>P-10</t>
  </si>
  <si>
    <t>—</t>
  </si>
  <si>
    <t>NONE, deliberately.</t>
  </si>
  <si>
    <t>N/A</t>
  </si>
  <si>
    <t>The commitment is a 3-second sustained press (the piston), not a dialog. The duration IS the deliberation. A confirm dialog after a hold would be two confirmations, which trains people to dismiss both.</t>
  </si>
  <si>
    <t>In-Product Notifications</t>
  </si>
  <si>
    <t>Two routes exist to HOLD notifications; no notification is generated by anything. Every row below is Proposed unless marked otherwise. The trigger column names the event — a notification without a named event is a notification nobody can test.</t>
  </si>
  <si>
    <t>Event that fires it</t>
  </si>
  <si>
    <t>Message</t>
  </si>
  <si>
    <t>Audience</t>
  </si>
  <si>
    <t>Urgency</t>
  </si>
  <si>
    <t>Where it lands</t>
  </si>
  <si>
    <t>N-00</t>
  </si>
  <si>
    <t>(the surfaces that hold them)</t>
  </si>
  <si>
    <t>Member</t>
  </si>
  <si>
    <t>/member/notifications, /member/settings/notifications</t>
  </si>
  <si>
    <t>Both routes exist and render the registry Surface. Nothing writes to them.</t>
  </si>
  <si>
    <t>N-01</t>
  </si>
  <si>
    <t>Accreditation submitted</t>
  </si>
  <si>
    <t>Application received. A decision follows within 15 working days.</t>
  </si>
  <si>
    <t>Applicant</t>
  </si>
  <si>
    <t>Normal</t>
  </si>
  <si>
    <t>Email + in-product</t>
  </si>
  <si>
    <t>PR-01 states the window; nothing currently confirms receipt.</t>
  </si>
  <si>
    <t>N-02</t>
  </si>
  <si>
    <t>Accreditation decided</t>
  </si>
  <si>
    <t>Accreditation approved / declined, with the reason.</t>
  </si>
  <si>
    <t>High</t>
  </si>
  <si>
    <t>A decline must state a reason and a route to appeal.</t>
  </si>
  <si>
    <t>N-03</t>
  </si>
  <si>
    <t>Deposit received</t>
  </si>
  <si>
    <t>₹50,000 received. It holds your position; it does not make you a partner.</t>
  </si>
  <si>
    <t>Investor</t>
  </si>
  <si>
    <t>Must repeat the Member Law. The commonest misreading of a deposit is that it completes the purchase.</t>
  </si>
  <si>
    <t>N-04</t>
  </si>
  <si>
    <t>Completion window opening</t>
  </si>
  <si>
    <t>Balance and Vehicle Agreement due within 15 working days.</t>
  </si>
  <si>
    <t>Email</t>
  </si>
  <si>
    <t>Needs a countdown, and a second at T-3 days.</t>
  </si>
  <si>
    <t>N-05</t>
  </si>
  <si>
    <t>SETTLEMENT</t>
  </si>
  <si>
    <t>You are a Member of &lt;vehicle&gt;. Entitlement and governance rights begin now.</t>
  </si>
  <si>
    <t>Critical</t>
  </si>
  <si>
    <t>THE MEMBER LAW (I-08) fires here and only here. This is the single most important notification in the system and it is irreversible.</t>
  </si>
  <si>
    <t>N-06</t>
  </si>
  <si>
    <t>Resolution opened</t>
  </si>
  <si>
    <t>A resolution is open for your vote. Threshold: ordinary / special. Closes &lt;date&gt;.</t>
  </si>
  <si>
    <t>Must state the threshold and the voting weight, per §24a.</t>
  </si>
  <si>
    <t>N-07</t>
  </si>
  <si>
    <t>Resolution closing</t>
  </si>
  <si>
    <t>Your vote has not been cast. Voting closes in 48 hours.</t>
  </si>
  <si>
    <t>A tie is NOT approval, so an uncast vote has a real consequence and the reminder must say so.</t>
  </si>
  <si>
    <t>N-08</t>
  </si>
  <si>
    <t>Resolution decided</t>
  </si>
  <si>
    <t>Outcome, the count, and the threshold it met.</t>
  </si>
  <si>
    <t>ADR-0008: secret ballot, transparent outcome. Publish the tally, never who voted how.</t>
  </si>
  <si>
    <t>N-09</t>
  </si>
  <si>
    <t>Distribution declared</t>
  </si>
  <si>
    <t>&lt;amount&gt; declared for the period ending &lt;date&gt;.</t>
  </si>
  <si>
    <t>Must carry a confidence class like every other figure.</t>
  </si>
  <si>
    <t>N-10</t>
  </si>
  <si>
    <t>Distribution paid</t>
  </si>
  <si>
    <t>&lt;amount&gt; paid to the account ending &lt;n&gt;.</t>
  </si>
  <si>
    <t>N-11</t>
  </si>
  <si>
    <t>Distribution BLOCKED</t>
  </si>
  <si>
    <t>No distribution this period. Stage six does not run if the reserve would fall below its floor.</t>
  </si>
  <si>
    <t>Silence here reads as an error. A profitable period with no distribution is normal and must be explained when it happens, not in a FAQ.</t>
  </si>
  <si>
    <t>N-12</t>
  </si>
  <si>
    <t>Entitlement opens</t>
  </si>
  <si>
    <t>Your &lt;n&gt; nights for &lt;year&gt; are now drawable.</t>
  </si>
  <si>
    <t>In-product</t>
  </si>
  <si>
    <t>Not before handover — nothing is drawable against an unbuilt asset.</t>
  </si>
  <si>
    <t>N-13</t>
  </si>
  <si>
    <t>Entitlement expiring</t>
  </si>
  <si>
    <t>&lt;n&gt; nights lapse on &lt;date&gt;.</t>
  </si>
  <si>
    <t>Needs a stated lapse policy first — see Decisions D-07.</t>
  </si>
  <si>
    <t>N-14</t>
  </si>
  <si>
    <t>Document version changed</t>
  </si>
  <si>
    <t>&lt;document&gt; is now v&lt;n&gt;. What changed: &lt;summary&gt;.</t>
  </si>
  <si>
    <t>A binding document changing under someone silently is the failure mode. Must link the diff.</t>
  </si>
  <si>
    <t>N-15</t>
  </si>
  <si>
    <t>Covenant proximity</t>
  </si>
  <si>
    <t>DSCR approaching the covenant threshold.</t>
  </si>
  <si>
    <t>Office</t>
  </si>
  <si>
    <t>Office vantage only. Never shown at member vantage without Board sign-off on the wording.</t>
  </si>
  <si>
    <t>N-16</t>
  </si>
  <si>
    <t>Valuation published</t>
  </si>
  <si>
    <t>&lt;property&gt; revalued to &lt;amount&gt; by &lt;source&gt;.</t>
  </si>
  <si>
    <t>Must name the source and its confidence class; a management estimate is not an appraisal.</t>
  </si>
  <si>
    <t>N-17</t>
  </si>
  <si>
    <t>Lead captured</t>
  </si>
  <si>
    <t>A signal / dossier request arrived.</t>
  </si>
  <si>
    <t>Low</t>
  </si>
  <si>
    <t>Live</t>
  </si>
  <si>
    <t>The only notification that actually fires today. app/api/signal, app/api/dossier → lib/leads.ts.</t>
  </si>
  <si>
    <t>Transactional Email</t>
  </si>
  <si>
    <t>Two endpoints are live via Resend; both return 503 without RESEND_API_KEY and the page says so rather than showing a false success. Everything else is proposed. No template system, no unsubscribe handling and no verified sending domain exists yet.</t>
  </si>
  <si>
    <t>To</t>
  </si>
  <si>
    <t>Subject / purpose</t>
  </si>
  <si>
    <t>Type</t>
  </si>
  <si>
    <t>Template</t>
  </si>
  <si>
    <t>E-01</t>
  </si>
  <si>
    <t>/signal form submit</t>
  </si>
  <si>
    <t>SIGNAL_LEAD_EMAIL</t>
  </si>
  <si>
    <t>New Signal subscriber</t>
  </si>
  <si>
    <t>Internal</t>
  </si>
  <si>
    <t>Plain text</t>
  </si>
  <si>
    <t>lib/leads.ts. Returns 503 when unconfigured; the form renders an honest failure with a mailto fallback.</t>
  </si>
  <si>
    <t>E-02</t>
  </si>
  <si>
    <t>/communique/request submit</t>
  </si>
  <si>
    <t>DOSSIER_LEAD_EMAIL</t>
  </si>
  <si>
    <t>New dossier request</t>
  </si>
  <si>
    <t>Same path. 400 on invalid input, 503 on unconfigured.</t>
  </si>
  <si>
    <t>E-03</t>
  </si>
  <si>
    <t>Signal form submit</t>
  </si>
  <si>
    <t>The subscriber</t>
  </si>
  <si>
    <t>Confirm the subscription (double opt-in)</t>
  </si>
  <si>
    <t>Outbound</t>
  </si>
  <si>
    <t>REQUIRED. Today you capture an address and send that person nothing — no confirmation and no way to unsubscribe. This is a compliance gap, not a nicety.</t>
  </si>
  <si>
    <t>E-04</t>
  </si>
  <si>
    <t>Dossier request</t>
  </si>
  <si>
    <t>The requester</t>
  </si>
  <si>
    <t>The dossier itself</t>
  </si>
  <si>
    <t>The form promises an intelligence pack. Nothing sends one. See Assets A-20.</t>
  </si>
  <si>
    <t>E-05</t>
  </si>
  <si>
    <t>Sign-up</t>
  </si>
  <si>
    <t>New account</t>
  </si>
  <si>
    <t>Verify your email address</t>
  </si>
  <si>
    <t>Blocked on Clerk, which handles this natively.</t>
  </si>
  <si>
    <t>E-06</t>
  </si>
  <si>
    <t>Application received · 15 working days</t>
  </si>
  <si>
    <t>Pairs with N-01.</t>
  </si>
  <si>
    <t>E-07</t>
  </si>
  <si>
    <t>Decision, with reason</t>
  </si>
  <si>
    <t>Pairs with N-02.</t>
  </si>
  <si>
    <t>E-08</t>
  </si>
  <si>
    <t>₹50,000 received · what it does and does not do</t>
  </si>
  <si>
    <t>Must state that a deposit makes nobody a partner.</t>
  </si>
  <si>
    <t>E-09</t>
  </si>
  <si>
    <t>Payment receipt (GST-compliant)</t>
  </si>
  <si>
    <t>Tax-document requirements unconfirmed — see Decisions D-05.</t>
  </si>
  <si>
    <t>E-10</t>
  </si>
  <si>
    <t>Settlement</t>
  </si>
  <si>
    <t>You are a Member of &lt;vehicle&gt;</t>
  </si>
  <si>
    <t>THE MEMBER LAW. Should carry the Vehicle Agreement and the register entry as attachments.</t>
  </si>
  <si>
    <t>E-11</t>
  </si>
  <si>
    <t>Members</t>
  </si>
  <si>
    <t>A resolution is open · closes &lt;date&gt;</t>
  </si>
  <si>
    <t>E-12</t>
  </si>
  <si>
    <t>Non-voters</t>
  </si>
  <si>
    <t>Voting closes in 48 hours</t>
  </si>
  <si>
    <t>E-13</t>
  </si>
  <si>
    <t>Outcome and tally</t>
  </si>
  <si>
    <t>Tally yes; individual votes never.</t>
  </si>
  <si>
    <t>E-14</t>
  </si>
  <si>
    <t>Distribution statement</t>
  </si>
  <si>
    <t>Needs a PDF generator — none exists.</t>
  </si>
  <si>
    <t>E-15</t>
  </si>
  <si>
    <t>Quarterly</t>
  </si>
  <si>
    <t>Vehicle report</t>
  </si>
  <si>
    <t>Cadence and content not agreed — Decisions D-08.</t>
  </si>
  <si>
    <t>E-16</t>
  </si>
  <si>
    <t>Document version change</t>
  </si>
  <si>
    <t>&lt;document&gt; updated to v&lt;n&gt;</t>
  </si>
  <si>
    <t>Legally significant. Must link the diff, not just announce it.</t>
  </si>
  <si>
    <t>E-17</t>
  </si>
  <si>
    <t>Weekly</t>
  </si>
  <si>
    <t>Signal subscribers</t>
  </si>
  <si>
    <t>Marketing</t>
  </si>
  <si>
    <t>Needs unsubscribe, preference centre and a verified domain before a single send.</t>
  </si>
  <si>
    <t>E-18</t>
  </si>
  <si>
    <t>Password reset</t>
  </si>
  <si>
    <t>Account</t>
  </si>
  <si>
    <t>Reset your password</t>
  </si>
  <si>
    <t>Blocked on Clerk.</t>
  </si>
  <si>
    <t>Current Gaps</t>
  </si>
  <si>
    <t>What is missing, why it matters, and what it blocks. Severity is my assessment. 'Blocks launch' means I would not put the URL in front of an investor until it is closed.</t>
  </si>
  <si>
    <t>Area</t>
  </si>
  <si>
    <t>The gap</t>
  </si>
  <si>
    <t>What it blocks</t>
  </si>
  <si>
    <t>Severity</t>
  </si>
  <si>
    <t>Effort</t>
  </si>
  <si>
    <t>G-01</t>
  </si>
  <si>
    <t>~9,000 words of Terms and Risk Disclosure have never been reviewed by a lawyer.</t>
  </si>
  <si>
    <t>Any real investor traffic</t>
  </si>
  <si>
    <t>Blocks launch</t>
  </si>
  <si>
    <t>External</t>
  </si>
  <si>
    <t>Open</t>
  </si>
  <si>
    <t>content/legal.ts + slowspace.ts. Drafted to be accurate; not drafted to be relied on. This is the single largest exposure on this sheet and it is not a code problem.</t>
  </si>
  <si>
    <t>G-02</t>
  </si>
  <si>
    <t>Repository is PUBLIC, so the unreviewed copy and the LLP identifiers are world-readable.</t>
  </si>
  <si>
    <t>Minutes</t>
  </si>
  <si>
    <t>One command flips it. Raised twice; not yet actioned.</t>
  </si>
  <si>
    <t>G-03</t>
  </si>
  <si>
    <t>Entity</t>
  </si>
  <si>
    <t>SlowSpace Coastal LLP, LLPIN AAC-4471 and the Udupi registered office are modelled from a dossier, not verified against the MCA register.</t>
  </si>
  <si>
    <t>Publishing the offering</t>
  </si>
  <si>
    <t>If the entity is not incorporated with that identifier, the platform is asserting that it is.</t>
  </si>
  <si>
    <t>G-04</t>
  </si>
  <si>
    <t>Auth</t>
  </si>
  <si>
    <t>No authentication. lib/access.ts fails closed, so 63 member/office routes correctly deny everyone.</t>
  </si>
  <si>
    <t>Every member and office surface</t>
  </si>
  <si>
    <t>Large</t>
  </si>
  <si>
    <t>Deliberate and correct for an unfinished system. Clerk is chosen but not integrated.</t>
  </si>
  <si>
    <t>G-05</t>
  </si>
  <si>
    <t>Data</t>
  </si>
  <si>
    <t>No database. Every page reads static TypeScript.</t>
  </si>
  <si>
    <t>Persistence of anything</t>
  </si>
  <si>
    <t>Drizzle schema and 27 tables are generated and checked; nothing connects to Neon.</t>
  </si>
  <si>
    <t>G-06</t>
  </si>
  <si>
    <t>Payments</t>
  </si>
  <si>
    <t>No payment processor. The ₹50,000 deposit cannot be taken.</t>
  </si>
  <si>
    <t>The commitment flow</t>
  </si>
  <si>
    <t>Razorpay chosen. The piston records a state change in memory and nothing else.</t>
  </si>
  <si>
    <t>G-07</t>
  </si>
  <si>
    <t>Product</t>
  </si>
  <si>
    <t>CLOSED 1 Aug 2026: all 82 scaffolds now render composed pages through the composition layer (app/_assemblies/compose.tsx) — 11 section primitives over the existing design system, every page carrying the four-stage disclosure strip (Public / Post-KYC / Post-commitment / Operational).</t>
  </si>
  <si>
    <t>Closed</t>
  </si>
  <si>
    <t>Remaining depth is data, not pages: operational registers state their absence honestly until persistence exists.</t>
  </si>
  <si>
    <t>G-08</t>
  </si>
  <si>
    <t>No photography exists. The gallery ships five labelled drawings.</t>
  </si>
  <si>
    <t>Every visual surface</t>
  </si>
  <si>
    <t>content/gateway.ts states this plainly rather than shipping renders as photographs. See the Assets sheet.</t>
  </si>
  <si>
    <t>G-09</t>
  </si>
  <si>
    <t>Ops</t>
  </si>
  <si>
    <t>No error tracking.</t>
  </si>
  <si>
    <t>Knowing when production breaks</t>
  </si>
  <si>
    <t>Small</t>
  </si>
  <si>
    <t>Doc</t>
  </si>
  <si>
    <t>Sentry identified as the sixth account; not opened.</t>
  </si>
  <si>
    <t>G-10</t>
  </si>
  <si>
    <t>No rate limiting on /api/signal or /api/dossier.</t>
  </si>
  <si>
    <t>Publicising the URL</t>
  </si>
  <si>
    <t>Both are public, unauthenticated and send email. Trivially abusable once the domain is known.</t>
  </si>
  <si>
    <t>G-11</t>
  </si>
  <si>
    <t>No cookie/consent banner, no unsubscribe, no double opt-in.</t>
  </si>
  <si>
    <t>EU traffic; any marketing send</t>
  </si>
  <si>
    <t>Medium</t>
  </si>
  <si>
    <t>/legal/cookies documents a policy nothing enforces.</t>
  </si>
  <si>
    <t>G-12</t>
  </si>
  <si>
    <t>No CI. npm run verify runs only via a local pre-commit hook, which --no-verify walks past.</t>
  </si>
  <si>
    <t>Confidence in main</t>
  </si>
  <si>
    <t>GitHub Actions workflow not yet added; the token scope for it exists.</t>
  </si>
  <si>
    <t>G-13</t>
  </si>
  <si>
    <t>Notifications: two routes hold them, nothing generates one.</t>
  </si>
  <si>
    <t>Every member communication</t>
  </si>
  <si>
    <t>See the Notifications sheet.</t>
  </si>
  <si>
    <t>G-14</t>
  </si>
  <si>
    <t>No PDF generation.</t>
  </si>
  <si>
    <t>Statements, receipts, the dossier</t>
  </si>
  <si>
    <t>Referenced by four proposed emails.</t>
  </si>
  <si>
    <t>G-15</t>
  </si>
  <si>
    <t>Design</t>
  </si>
  <si>
    <t>Risk categories: 8 in the design system, 10 in the registry. Six render neutral grey.</t>
  </si>
  <si>
    <t>Correct risk colour</t>
  </si>
  <si>
    <t>WAVE-5-OPEN-QUESTIONS A2. riskColour() falls back to steel and a test pins that.</t>
  </si>
  <si>
    <t>G-16</t>
  </si>
  <si>
    <t>Brand voice conflict: L1-02 says 'Warm', Addendum A says 'never persuades'.</t>
  </si>
  <si>
    <t>Consistent copy</t>
  </si>
  <si>
    <t>WAVE-5 A1. Resolved in practice toward plain and non-blaming; not written down.</t>
  </si>
  <si>
    <t>G-17</t>
  </si>
  <si>
    <t>/collective/press and /collective/gallery ship empty on purpose.</t>
  </si>
  <si>
    <t>Credibility surfaces</t>
  </si>
  <si>
    <t>The wireframe's six press clippings were quotes attributed to publications that have not published them. Empty and honest beats populated and false.</t>
  </si>
  <si>
    <t>G-18</t>
  </si>
  <si>
    <t>Vercel region pinned to bom1 for DPDP residency; plan support unverified.</t>
  </si>
  <si>
    <t>First deploy</t>
  </si>
  <si>
    <t>vercel.json. Will fail the deploy if the plan disallows region pinning.</t>
  </si>
  <si>
    <t>Decisions Awaiting You</t>
  </si>
  <si>
    <t>Each is a decision I could not make for you because it is commercial, fiduciary, legal or a matter of taste. Where I had a defensible default I applied it and said so in My Recommendation — none of those is agreed. YELLOW CELLS ARE YOURS TO FILL.</t>
  </si>
  <si>
    <t>The decision</t>
  </si>
  <si>
    <t>My recommendation</t>
  </si>
  <si>
    <t>Your decision</t>
  </si>
  <si>
    <t>Owner</t>
  </si>
  <si>
    <t>Due</t>
  </si>
  <si>
    <t>D-01</t>
  </si>
  <si>
    <t>Engage a lawyer to review the Terms and Risk Disclosure before any real traffic. Who, and when?</t>
  </si>
  <si>
    <t>Do this before the domain is public. Nothing else on this sheet costs more to get wrong.</t>
  </si>
  <si>
    <t>D-02</t>
  </si>
  <si>
    <t>Repository visibility: public or private?</t>
  </si>
  <si>
    <t>Private until D-01 closes. Search engines cannot un-crawl.</t>
  </si>
  <si>
    <t>D-03</t>
  </si>
  <si>
    <t>Confirm SlowSpace Coastal LLP is incorporated, and the real LLPIN and registered office.</t>
  </si>
  <si>
    <t>Replace with placeholders until confirmed, or confirm and keep.</t>
  </si>
  <si>
    <t>D-04</t>
  </si>
  <si>
    <t>Commercial</t>
  </si>
  <si>
    <t>Minimum unit is 5% and the ceiling 50%. Confirm both.</t>
  </si>
  <si>
    <t>Keep. 5% admits a wider register; 50% is where a partner would carry every ordinary resolution alone under §24a.</t>
  </si>
  <si>
    <t>D-05</t>
  </si>
  <si>
    <t>Finance</t>
  </si>
  <si>
    <t>Is the ₹50,000 deposit taxable on receipt, and what document must issue?</t>
  </si>
  <si>
    <t>Needs your accountant. It changes E-09 and the receipt wording.</t>
  </si>
  <si>
    <t>D-06</t>
  </si>
  <si>
    <t>Confirm the entitlement pool of 180–210 nights a year for the whole property.</t>
  </si>
  <si>
    <t>Keep. Derived so that no partition can exceed what the property can deliver.</t>
  </si>
  <si>
    <t>D-07</t>
  </si>
  <si>
    <t>Do unused nights lapse, roll over, or convert?</t>
  </si>
  <si>
    <t>Needs a policy before N-13 can be written. Lapse is simplest and the least generous; say which it is.</t>
  </si>
  <si>
    <t>D-08</t>
  </si>
  <si>
    <t>Comms</t>
  </si>
  <si>
    <t>Reporting cadence to members — quarterly, half-yearly?</t>
  </si>
  <si>
    <t>Quarterly, aligned to the distribution period.</t>
  </si>
  <si>
    <t>D-09</t>
  </si>
  <si>
    <t>Risk categories: extend the design system to 10, or map the registry's 10 onto 8?</t>
  </si>
  <si>
    <t>Map first (no amendment needed), then extend.</t>
  </si>
  <si>
    <t>D-10</t>
  </si>
  <si>
    <t>Brand</t>
  </si>
  <si>
    <t>Brand voice: does L1-02 'Warm' or Addendum A 'never persuades' govern interface copy?</t>
  </si>
  <si>
    <t>Addendum A governs interface copy; L1-02 governs member-facing narrative. Write it down.</t>
  </si>
  <si>
    <t>D-11</t>
  </si>
  <si>
    <t>ANSWERED 1 Aug 2026: the domain is getawaycollective.co (www 301s to the apex). The code now carries it. REMAINING: the domain currently serves a GoDaddy Website Builder page — DNS must be repointed to Vercel at go-live, and the builder page retired.</t>
  </si>
  <si>
    <t>Set NEXT_PUBLIC_SITE_URL=https://getawaycollective.co in Vercel. Decide the cutover moment: repointing DNS replaces the current GoDaddy page immediately.</t>
  </si>
  <si>
    <t>D-12</t>
  </si>
  <si>
    <t>Confirm the Vercel plan supports region pinning to bom1.</t>
  </si>
  <si>
    <t>Needed for the DPDP residency claim. If not, either upgrade or drop the claim — do not keep the claim without the pinning.</t>
  </si>
  <si>
    <t>D-13</t>
  </si>
  <si>
    <t>Open a Sentry account (the sixth).</t>
  </si>
  <si>
    <t>Yes, before launch. Silent production failures are the worst kind.</t>
  </si>
  <si>
    <t>D-14</t>
  </si>
  <si>
    <t>Commission photography, or ship labelled drawings?</t>
  </si>
  <si>
    <t>Ship drawings, labelled as drawings, until a property is photographable. Commission for Padubidri at handover.</t>
  </si>
  <si>
    <t>D-15</t>
  </si>
  <si>
    <t>Which of the 12 public scaffolds get built first?</t>
  </si>
  <si>
    <t>See the IA sheet filtered to public + scaffold. They are indexable, so they are what a stranger finds.</t>
  </si>
  <si>
    <t>D-16</t>
  </si>
  <si>
    <t>Verify a sending domain in Resend.</t>
  </si>
  <si>
    <t>Required before any outbound email. The sandbox sender only delivers to your own address.</t>
  </si>
  <si>
    <t>D-17</t>
  </si>
  <si>
    <t>Do you take EU traffic? It decides whether GDPR applies on top of DPDP.</t>
  </si>
  <si>
    <t>Assume yes unless you geo-block. It changes P-03 and E-03.</t>
  </si>
  <si>
    <t>D-18</t>
  </si>
  <si>
    <t>Domain</t>
  </si>
  <si>
    <t>Ratify the §33 amendment queue: 10 candidate objects the vehicle domain model registers (see the Domain sheet).</t>
  </si>
  <si>
    <t>Ratify OwnershipCalendar + AllocationRight first — Time is the only domain with zero ratified objects. FixedAsset and DebtFacility next; both are needed before the first fit-out invoice and the first covenant test.</t>
  </si>
  <si>
    <t>D-19</t>
  </si>
  <si>
    <t>Confirm the audit-threshold policy: the statutory mirror assumes EVERY GC vehicle crosses ₹25 lakh contribution at formation, so all are audited and ITR-5 falls on 31 October.</t>
  </si>
  <si>
    <t>True of SlowSpace (₹4 Cr equity). Confirm it holds as standing policy so the mirror never needs a per-vehicle exception.</t>
  </si>
  <si>
    <t>Pending Assets</t>
  </si>
  <si>
    <t>Nothing here exists. Dimensions are what the code actually consumes; where a surface currently renders a generated placeholder, the placeholder is named so you can see what it is standing in for. YELLOW CELLS ARE YOURS.</t>
  </si>
  <si>
    <t>Category</t>
  </si>
  <si>
    <t>Asset</t>
  </si>
  <si>
    <t>Dimensions</t>
  </si>
  <si>
    <t>Qty</t>
  </si>
  <si>
    <t>Used by</t>
  </si>
  <si>
    <t>Currently renders</t>
  </si>
  <si>
    <t>A-01</t>
  </si>
  <si>
    <t>Wordmark</t>
  </si>
  <si>
    <t>SVG</t>
  </si>
  <si>
    <t>Vector, 1-colour</t>
  </si>
  <si>
    <t>1</t>
  </si>
  <si>
    <t>Header, footer, favicon</t>
  </si>
  <si>
    <t>Text 'GC.SYSTEM'</t>
  </si>
  <si>
    <t>Not supplied</t>
  </si>
  <si>
    <t>A-02</t>
  </si>
  <si>
    <t>Monogram / favicon</t>
  </si>
  <si>
    <t>Square, legible at 16px</t>
  </si>
  <si>
    <t>app/icon.tsx</t>
  </si>
  <si>
    <t>Generated GC monogram from tokens</t>
  </si>
  <si>
    <t>A-03</t>
  </si>
  <si>
    <t>Brand guidelines PDF</t>
  </si>
  <si>
    <t>PDF</t>
  </si>
  <si>
    <t>Partner and press packs</t>
  </si>
  <si>
    <t>A-04</t>
  </si>
  <si>
    <t>SlowSpace Coastal · hero</t>
  </si>
  <si>
    <t>Photo/render</t>
  </si>
  <si>
    <t>3200×1800 (16:9), ≥2× retina</t>
  </si>
  <si>
    <t>/flow, /collection/[property]</t>
  </si>
  <si>
    <t>Generated gradient plate, hue 198</t>
  </si>
  <si>
    <t>A-05</t>
  </si>
  <si>
    <t>SlowSpace Coastal · gallery set</t>
  </si>
  <si>
    <t>2400×3000 (4:5)</t>
  </si>
  <si>
    <t>8–12</t>
  </si>
  <si>
    <t>/gallery, /collection/[property]/gallery</t>
  </si>
  <si>
    <t>2 labelled drawings (F-01, F-02)</t>
  </si>
  <si>
    <t>A-06</t>
  </si>
  <si>
    <t>SlowSpace Coastal · site plan</t>
  </si>
  <si>
    <t>Drawing</t>
  </si>
  <si>
    <t>Vector or 3000px wide</t>
  </si>
  <si>
    <t>F-02 placeholder</t>
  </si>
  <si>
    <t>A-07</t>
  </si>
  <si>
    <t>SlowSpace Coastal · section drawings</t>
  </si>
  <si>
    <t>Vector</t>
  </si>
  <si>
    <t>3–4</t>
  </si>
  <si>
    <t>Space surfaces</t>
  </si>
  <si>
    <t>F-01 placeholder</t>
  </si>
  <si>
    <t>A-08</t>
  </si>
  <si>
    <t>Kyoto House · gallery set</t>
  </si>
  <si>
    <t>Photo</t>
  </si>
  <si>
    <t>6–10</t>
  </si>
  <si>
    <t>/collection/kyoto-house</t>
  </si>
  <si>
    <t>1 labelled drawing (F-03)</t>
  </si>
  <si>
    <t>A-09</t>
  </si>
  <si>
    <t>Swiss Vault · gallery set</t>
  </si>
  <si>
    <t>/collection/swiss-vault</t>
  </si>
  <si>
    <t>1 labelled drawing (F-04)</t>
  </si>
  <si>
    <t>A-10</t>
  </si>
  <si>
    <t>Oslo Base · gallery set</t>
  </si>
  <si>
    <t>/collection/oslo-base</t>
  </si>
  <si>
    <t>1 labelled drawing (F-05)</t>
  </si>
  <si>
    <t>A-11</t>
  </si>
  <si>
    <t>Aerial / context</t>
  </si>
  <si>
    <t>3200×1800</t>
  </si>
  <si>
    <t>1 per property</t>
  </si>
  <si>
    <t>Location surfaces</t>
  </si>
  <si>
    <t>A-12</t>
  </si>
  <si>
    <t>Social</t>
  </si>
  <si>
    <t>Default share card</t>
  </si>
  <si>
    <t>PNG</t>
  </si>
  <si>
    <t>1200×630</t>
  </si>
  <si>
    <t>app/opengraph-image.tsx</t>
  </si>
  <si>
    <t>Generated type-only card from tokens</t>
  </si>
  <si>
    <t>A-13</t>
  </si>
  <si>
    <t>Per-property share cards</t>
  </si>
  <si>
    <t>Property routes</t>
  </si>
  <si>
    <t>Falls back to A-12</t>
  </si>
  <si>
    <t>A-14</t>
  </si>
  <si>
    <t>Editorial</t>
  </si>
  <si>
    <t>Journal entry headers</t>
  </si>
  <si>
    <t>Photo/illustration</t>
  </si>
  <si>
    <t>2400×1350 (16:9)</t>
  </si>
  <si>
    <t>1 per entry</t>
  </si>
  <si>
    <t>Gradient plate</t>
  </si>
  <si>
    <t>A-15</t>
  </si>
  <si>
    <t>Journal author portraits</t>
  </si>
  <si>
    <t>800×800</t>
  </si>
  <si>
    <t>1 per author</t>
  </si>
  <si>
    <t>A-16</t>
  </si>
  <si>
    <t>People</t>
  </si>
  <si>
    <t>Team portraits</t>
  </si>
  <si>
    <t>1200×1500 (4:5)</t>
  </si>
  <si>
    <t>1 per person</t>
  </si>
  <si>
    <t>A-17</t>
  </si>
  <si>
    <t>Partner firm logos</t>
  </si>
  <si>
    <t>1 per firm</t>
  </si>
  <si>
    <t>Names withheld until engagements are recorded</t>
  </si>
  <si>
    <t>A-18</t>
  </si>
  <si>
    <t>Diagram</t>
  </si>
  <si>
    <t>Vehicle / entity structure</t>
  </si>
  <si>
    <t>/structure, /how-it-works</t>
  </si>
  <si>
    <t>Text-and-rule diagram</t>
  </si>
  <si>
    <t>A-19</t>
  </si>
  <si>
    <t>Waterfall diagram</t>
  </si>
  <si>
    <t>Built in CSS from live figures — arguably better than an asset</t>
  </si>
  <si>
    <t>A-20</t>
  </si>
  <si>
    <t>The Dossier / investment brief</t>
  </si>
  <si>
    <t>A4</t>
  </si>
  <si>
    <t>NOTHING. The form promises it and no file exists.</t>
  </si>
  <si>
    <t>A-21</t>
  </si>
  <si>
    <t>Vehicle Agreement template</t>
  </si>
  <si>
    <t>PDF/DOCX</t>
  </si>
  <si>
    <t>1 per vehicle</t>
  </si>
  <si>
    <t>Accreditation, settlement</t>
  </si>
  <si>
    <t>A-22</t>
  </si>
  <si>
    <t>Press</t>
  </si>
  <si>
    <t>Press kit</t>
  </si>
  <si>
    <t>ZIP</t>
  </si>
  <si>
    <t>Ships empty and says so</t>
  </si>
  <si>
    <t>A-23</t>
  </si>
  <si>
    <t>Video</t>
  </si>
  <si>
    <t>Property film</t>
  </si>
  <si>
    <t>MP4</t>
  </si>
  <si>
    <t>1920×1080, ≤60s</t>
  </si>
  <si>
    <t>Hero surfaces</t>
  </si>
  <si>
    <t>A-24</t>
  </si>
  <si>
    <t>Lawyer-reviewed Terms and Risk Disclosure</t>
  </si>
  <si>
    <t>Text</t>
  </si>
  <si>
    <t>content/legal.ts</t>
  </si>
  <si>
    <t>Unreviewed draft, ~9,000 words</t>
  </si>
  <si>
    <t>The Vehicle Domain Model</t>
  </si>
  <si>
    <t>EXTRACTED from constants/vehicle-domain.ts (commit b0ade3f), not typed. The LLP sits at the apex; Space, Time and Capital are its constituents; Governance is the constitutional layer that governs the other three — not a fourth business function. Every constituent states what backs it: a ratified object, a UFR field, a derivation, executable code, a REGISTERED gap awaiting a §33 amendment, or OUT OF SCOPE with the reason.</t>
  </si>
  <si>
    <t>Section</t>
  </si>
  <si>
    <t>Constituent</t>
  </si>
  <si>
    <t>Backing</t>
  </si>
  <si>
    <t>Backed by</t>
  </si>
  <si>
    <t>Gap / exclusion detail</t>
  </si>
  <si>
    <t>Note</t>
  </si>
  <si>
    <t>What does the LLP own?</t>
  </si>
  <si>
    <t>SP.1 · Property</t>
  </si>
  <si>
    <t>Property Code</t>
  </si>
  <si>
    <t>object</t>
  </si>
  <si>
    <t>The asset code (PDB-01) is carried on the record today; a dedicated UFR entry is the E-06 gap to close when the field is next touched.</t>
  </si>
  <si>
    <t>Property Name</t>
  </si>
  <si>
    <t>field</t>
  </si>
  <si>
    <t>UFR-0060 on Property</t>
  </si>
  <si>
    <t>Property Type</t>
  </si>
  <si>
    <t>Carried on the Property record; the closed type set is an enum question, not a new object.</t>
  </si>
  <si>
    <t>Investment Thesis</t>
  </si>
  <si>
    <t>An attribute of the asset, constitutionally: the thesis names why THIS property. It moved from Intelligence to Space for that reason.</t>
  </si>
  <si>
    <t>Asset Status</t>
  </si>
  <si>
    <t>UFR-0066 on Property</t>
  </si>
  <si>
    <t>The lifecycle field. Pre-construction → construction → stabilised → disposition.</t>
  </si>
  <si>
    <t>Documents Folder</t>
  </si>
  <si>
    <t>registered</t>
  </si>
  <si>
    <t>PropertyDocument</t>
  </si>
  <si>
    <t>One object per instrument with kind, custody and hash — a folder is not a record.</t>
  </si>
  <si>
    <t>SP.2 · Fixed Assets</t>
  </si>
  <si>
    <t>Furniture &amp; Fixtures</t>
  </si>
  <si>
    <t>FixedAsset</t>
  </si>
  <si>
    <t>Asset register entries with cost, life, and depreciation basis. Required before the first fit-out invoice lands.</t>
  </si>
  <si>
    <t>Plant &amp; Machinery</t>
  </si>
  <si>
    <t>Same object, classed plant_machinery.</t>
  </si>
  <si>
    <t>Renewable Systems</t>
  </si>
  <si>
    <t>Same object, classed renewable.</t>
  </si>
  <si>
    <t>Capital Improvements</t>
  </si>
  <si>
    <t>Same object, classed improvement — funded from the Sinking Fund, which is why the class must be distinguishable.</t>
  </si>
  <si>
    <t>SP.3 · Asset Protection</t>
  </si>
  <si>
    <t>Insurance</t>
  </si>
  <si>
    <t>InsurancePolicy</t>
  </si>
  <si>
    <t>Policy, insurer, sum insured, expiry. The governance calendar needs the expiry date to fire a compliance event.</t>
  </si>
  <si>
    <t>Valuation</t>
  </si>
  <si>
    <t>Already ratified. Carries its source and confidence class — a management estimate is not an appraisal.</t>
  </si>
  <si>
    <t>SP.4 · Property Documents</t>
  </si>
  <si>
    <t>Drawings</t>
  </si>
  <si>
    <t>kind: drawing</t>
  </si>
  <si>
    <t>Approvals</t>
  </si>
  <si>
    <t>kind: approval. CRZ clearance lives here — the compliance mirror in Governance references it.</t>
  </si>
  <si>
    <t>Manuals</t>
  </si>
  <si>
    <t>kind: manual</t>
  </si>
  <si>
    <t>Warranties</t>
  </si>
  <si>
    <t>kind: warranty. Expiry-bearing, like insurance — feeds the governance calendar.</t>
  </si>
  <si>
    <t>Asset Registers</t>
  </si>
  <si>
    <t>The register IS the set of FixedAsset records; a separate register document would be a copy that drifts.</t>
  </si>
  <si>
    <t>How much time does each LLP Partner legally control?</t>
  </si>
  <si>
    <t>TM.1 · Ownership Calendar</t>
  </si>
  <si>
    <t>Calendar Year</t>
  </si>
  <si>
    <t>OwnershipCalendar</t>
  </si>
  <si>
    <t>One record per vehicle per year. The vehicle-level pool the allocations divide.</t>
  </si>
  <si>
    <t>Allocation Year</t>
  </si>
  <si>
    <t>The year an allocation belongs to — distinct from the calendar year it is used in only once rollover policy exists, which is Decision D-07.</t>
  </si>
  <si>
    <t>Available Days</t>
  </si>
  <si>
    <t>derived</t>
  </si>
  <si>
    <t>NIGHT_POOL stated per vehicle per year; each position takes floor(pool × stake)</t>
  </si>
  <si>
    <t>The pool is stated for the whole vehicle and each position takes its floor, so the sum of every partner's entitlement can never exceed what the property delivers. Multiplying a per-unit figure would invent nights.</t>
  </si>
  <si>
    <t>TM.2 · Allocation Rights</t>
  </si>
  <si>
    <t>Ownership Percentage</t>
  </si>
  <si>
    <t>UFR-0242 on Ownership Position</t>
  </si>
  <si>
    <t>units_held over total_units_issued. The stake is the input; time is one of its outputs.</t>
  </si>
  <si>
    <t>Annual Day Allocation</t>
  </si>
  <si>
    <t>floor(available_days × ownership_percentage)</t>
  </si>
  <si>
    <t>STATIC. It does not vary with usage, season or behaviour — a right attached to ownership, not a reward attached to conduct.</t>
  </si>
  <si>
    <t>Reserved Days</t>
  </si>
  <si>
    <t>AllocationRight</t>
  </si>
  <si>
    <t>Days the vehicle withholds from the pool before division — maintenance closures, statutory closures.</t>
  </si>
  <si>
    <t>Blackout Rules</t>
  </si>
  <si>
    <t>Vehicle-level rules constraining when allocation may be drawn. Rules, never individual draws.</t>
  </si>
  <si>
    <t>TM.3 · Usage Rights</t>
  </si>
  <si>
    <t>Usage Rights</t>
  </si>
  <si>
    <t>outOfScope</t>
  </si>
  <si>
    <t>Directed out of scope, 1 Aug 2026. Usage is operation, and operation belongs to the Operating Company. The vehicle records who CONTROLS time, never who USED it.</t>
  </si>
  <si>
    <t>TM.4 · Calendar Rights</t>
  </si>
  <si>
    <t>Calendar Rights</t>
  </si>
  <si>
    <t>Directed out of scope, 1 Aug 2026. Same boundary as Usage Rights.</t>
  </si>
  <si>
    <t>TM.5 · Time Ledger</t>
  </si>
  <si>
    <t>Time Ledger</t>
  </si>
  <si>
    <t>Directed out of scope, 1 Aug 2026. A ledger of draws is an operating record. If it is ever pulled inside the vehicle, it enters as a §33 amendment — not as a quiet table.</t>
  </si>
  <si>
    <t>What is the financial position of the LLP?</t>
  </si>
  <si>
    <t>CP.1 · Investors</t>
  </si>
  <si>
    <t>Partner Register</t>
  </si>
  <si>
    <t>Ownership Register</t>
  </si>
  <si>
    <t>Ownership Position</t>
  </si>
  <si>
    <t>The same record Time reads its stake from. One register, two domains reading it — never two registers.</t>
  </si>
  <si>
    <t>Capital Accounts</t>
  </si>
  <si>
    <t>CapitalAccount</t>
  </si>
  <si>
    <t>Per-partner: contributed, share of profit, drawings, closing balance. The LLP Act requires it and Schedule-form accounts assume it.</t>
  </si>
  <si>
    <t>CP.2 · Capital Formation</t>
  </si>
  <si>
    <t>Investment Offering</t>
  </si>
  <si>
    <t>Commitments</t>
  </si>
  <si>
    <t>Commitment</t>
  </si>
  <si>
    <t>Contributions</t>
  </si>
  <si>
    <t>Investment</t>
  </si>
  <si>
    <t>A settled contribution. The Member Law fires here and nowhere else.</t>
  </si>
  <si>
    <t>CP.3 · Finance</t>
  </si>
  <si>
    <t>Debt</t>
  </si>
  <si>
    <t>DebtFacility</t>
  </si>
  <si>
    <t>Lender, principal, rate, moratorium, covenants. The ₹5.5 Cr facility currently lives as prose in slowspace.ts — a covenant nobody can query is a covenant nobody monitors.</t>
  </si>
  <si>
    <t>Interest</t>
  </si>
  <si>
    <t>Schedule rows on the facility.</t>
  </si>
  <si>
    <t>Repayments</t>
  </si>
  <si>
    <t>Banking</t>
  </si>
  <si>
    <t>BankAccount</t>
  </si>
  <si>
    <t>Account, bank, signatories. Signing authority itself is Governance — the account is Capital, the authority over it is law.</t>
  </si>
  <si>
    <t>CP.4 · Revenue</t>
  </si>
  <si>
    <t>Revenue</t>
  </si>
  <si>
    <t>LedgerEntry</t>
  </si>
  <si>
    <t>Recognised revenue, by period and class.</t>
  </si>
  <si>
    <t>Operating Income</t>
  </si>
  <si>
    <t>class: operating</t>
  </si>
  <si>
    <t>Brand Income</t>
  </si>
  <si>
    <t>class: brand</t>
  </si>
  <si>
    <t>Other Income</t>
  </si>
  <si>
    <t>class: other</t>
  </si>
  <si>
    <t>CP.5 · Expenses</t>
  </si>
  <si>
    <t>Operating Costs</t>
  </si>
  <si>
    <t>class: operating_cost</t>
  </si>
  <si>
    <t>Asset Management</t>
  </si>
  <si>
    <t>class: asset_management</t>
  </si>
  <si>
    <t>class: administration</t>
  </si>
  <si>
    <t>class: insurance — the premium is an expense here; the policy is Space (SP.3).</t>
  </si>
  <si>
    <t>Professional Fees</t>
  </si>
  <si>
    <t>class: professional_fees</t>
  </si>
  <si>
    <t>CP.6 · Reserves</t>
  </si>
  <si>
    <t>Sinking Fund</t>
  </si>
  <si>
    <t>lib/domain.ts — waterfall stage 4, floor rule F-06</t>
  </si>
  <si>
    <t>The reserve exists as executable law: 2.5% of revenue in, distribution blocked if paying would breach the floor. A Reserve record joins when persistence exists.</t>
  </si>
  <si>
    <t>CP.7 · Valuation</t>
  </si>
  <si>
    <t>NAV</t>
  </si>
  <si>
    <t>asset valuations (Space) − debt outstanding + reserves + net working capital</t>
  </si>
  <si>
    <t>Derived, never typed. The prototype carried four different valuations of one house because each screen held its own copy.</t>
  </si>
  <si>
    <t>CP.8 · Distribution</t>
  </si>
  <si>
    <t>lib/domain.ts — six stages, closes to 100%, F-05</t>
  </si>
  <si>
    <t>Debt Service</t>
  </si>
  <si>
    <t>investor share − partner distribution; stage 5, the senior claim</t>
  </si>
  <si>
    <t>Partner Distributions</t>
  </si>
  <si>
    <t>Retained Earnings</t>
  </si>
  <si>
    <t>what stage 6 withholds when blocked — retained, never evaporated</t>
  </si>
  <si>
    <t>CP.9 · Reporting</t>
  </si>
  <si>
    <t>Balance Sheet</t>
  </si>
  <si>
    <t>Performance Report</t>
  </si>
  <si>
    <t>Statement kinds on the report object; the statutory filing of them is Governance (Form 8).</t>
  </si>
  <si>
    <t>Profit &amp; Loss</t>
  </si>
  <si>
    <t>Cash Flow</t>
  </si>
  <si>
    <t>Reported per partner, per period — same object as CP.1.</t>
  </si>
  <si>
    <t>Forecasts</t>
  </si>
  <si>
    <t>Forecast</t>
  </si>
  <si>
    <t>Forward-looking, so every figure carries its confidence class.</t>
  </si>
  <si>
    <t>Governance ⚖</t>
  </si>
  <si>
    <t>Under what law does the LLP act, and can it prove compliance?</t>
  </si>
  <si>
    <t>GV.1 · LLP Governance</t>
  </si>
  <si>
    <t>LLP Agreement</t>
  </si>
  <si>
    <t>Agreement</t>
  </si>
  <si>
    <t>The constitutional instrument. Filed as Form 3 within 30 days of incorporation — the statutory mirror row references this record.</t>
  </si>
  <si>
    <t>Partner &amp; Designated Partner Register</t>
  </si>
  <si>
    <t>The register read here is the same Investor set Capital holds — annotated with designated-partner status, never duplicated.</t>
  </si>
  <si>
    <t>Authority Matrix</t>
  </si>
  <si>
    <t>lib/authority.ts — rights, roles, separationViolations()</t>
  </si>
  <si>
    <t>Executable, and checked: no role may hold a dangerous triad. A matrix kept as a document is a matrix nobody enforces.</t>
  </si>
  <si>
    <t>Board / Partner Meeting Records</t>
  </si>
  <si>
    <t>Committee</t>
  </si>
  <si>
    <t>Resolution Register</t>
  </si>
  <si>
    <t>Voting Register</t>
  </si>
  <si>
    <t>constants/voting.ts — thresholds; ADR-0008 secret ballot, transparent outcome</t>
  </si>
  <si>
    <t>Contribution-weighted per §24a. Ordinary carries above 50% — a tie is not approval. Special at 76%. Tallies are published; who voted how never is.</t>
  </si>
  <si>
    <t>Constitutional Amendments</t>
  </si>
  <si>
    <t>Policy</t>
  </si>
  <si>
    <t>Including §33 amendments — which is how every `registered` candidate in this file becomes real.</t>
  </si>
  <si>
    <t>All Agreements</t>
  </si>
  <si>
    <t>Operator agreement, brand licence, facility agreement — one object, kinds distinguished. Every contract the vehicle signs lands here or does not bind it.</t>
  </si>
  <si>
    <t>GV.2 · Corporate Administration</t>
  </si>
  <si>
    <t>Incorporation Documents</t>
  </si>
  <si>
    <t>StatutoryRecord</t>
  </si>
  <si>
    <t>kind: incorporation — certificate, LLPIN, Form 2.</t>
  </si>
  <si>
    <t>PAN</t>
  </si>
  <si>
    <t>kind: pan</t>
  </si>
  <si>
    <t>TAN</t>
  </si>
  <si>
    <t>kind: tan — required the day the first salary or contractor payment is made, for TDS.</t>
  </si>
  <si>
    <t>Registered Office</t>
  </si>
  <si>
    <t>kind: registered_office. No UFR field carries it today — LLP.office in slowspace.ts is prose. A change of registered office is Form 15; the mirror row exists below.</t>
  </si>
  <si>
    <t>Statutory Registers</t>
  </si>
  <si>
    <t>kind: register</t>
  </si>
  <si>
    <t>Digital Signatures</t>
  </si>
  <si>
    <t>kind: dsc — every designated partner needs one before any MCA filing can be made.</t>
  </si>
  <si>
    <t>Banking Authorities</t>
  </si>
  <si>
    <t>kind: banking_authority — WHO may operate the account. The account itself is Capital (CP.3).</t>
  </si>
  <si>
    <t>Authorised Signatories</t>
  </si>
  <si>
    <t>kind: signatory</t>
  </si>
  <si>
    <t>Enterprise Policies</t>
  </si>
  <si>
    <t>Governance Calendar</t>
  </si>
  <si>
    <t>union of every statutory due date below + every expiry-bearing record (insurance, warranties, DSC)</t>
  </si>
  <si>
    <t>Derived from the obligations, never kept by hand. A hand-kept calendar is the one document guaranteed to be wrong the year it matters.</t>
  </si>
  <si>
    <t>THE STATUTORY MIRROR</t>
  </si>
  <si>
    <t>Every obligation of an Indian LLP, mapped onto the ComplianceEvent object — the governance calendar is derived from these rows, never kept by hand.</t>
  </si>
  <si>
    <t>Ref</t>
  </si>
  <si>
    <t>Instrument</t>
  </si>
  <si>
    <t>What</t>
  </si>
  <si>
    <t>Applies when</t>
  </si>
  <si>
    <t>ST-01</t>
  </si>
  <si>
    <t>Form 3</t>
  </si>
  <si>
    <t>MCA</t>
  </si>
  <si>
    <t>File the LLP Agreement and any change to it.</t>
  </si>
  <si>
    <t>Within 30 days of incorporation or of the change</t>
  </si>
  <si>
    <t>always</t>
  </si>
  <si>
    <t>ST-02</t>
  </si>
  <si>
    <t>Form 11</t>
  </si>
  <si>
    <t>Annual Return — partners, contributions, changes in the year.</t>
  </si>
  <si>
    <t>Within 60 days of financial year end (by 30 May)</t>
  </si>
  <si>
    <t>ST-03</t>
  </si>
  <si>
    <t>Form 8</t>
  </si>
  <si>
    <t>Statement of Account &amp; Solvency — the accounts CP.9 produces, filed.</t>
  </si>
  <si>
    <t>By 30 October each year</t>
  </si>
  <si>
    <t>ST-04</t>
  </si>
  <si>
    <t>Statutory audit</t>
  </si>
  <si>
    <t>Audit of the accounts.</t>
  </si>
  <si>
    <t>Before Form 8</t>
  </si>
  <si>
    <t>turnover &gt; ₹40 lakh OR contribution &gt; ₹25 lakh — every GC vehicle crosses the second test at formation</t>
  </si>
  <si>
    <t>ST-05</t>
  </si>
  <si>
    <t>ITR-5</t>
  </si>
  <si>
    <t>Income Tax</t>
  </si>
  <si>
    <t>Income tax return of the LLP.</t>
  </si>
  <si>
    <t>31 July, or 31 October when audited — GC vehicles are audited, so 31 October</t>
  </si>
  <si>
    <t>ST-06</t>
  </si>
  <si>
    <t>TDS returns (24Q/26Q)</t>
  </si>
  <si>
    <t>Quarterly deduction returns against the TAN.</t>
  </si>
  <si>
    <t>any payment attracting TDS — contractor, professional fees, interest</t>
  </si>
  <si>
    <t>ST-07</t>
  </si>
  <si>
    <t>GST returns</t>
  </si>
  <si>
    <t>GST</t>
  </si>
  <si>
    <t>Registration and periodic returns.</t>
  </si>
  <si>
    <t>Monthly/quarterly per registration</t>
  </si>
  <si>
    <t>taxable supplies exceed the threshold — expected once operations begin</t>
  </si>
  <si>
    <t>ST-08</t>
  </si>
  <si>
    <t>Form 4</t>
  </si>
  <si>
    <t>Change of partner or designated partner.</t>
  </si>
  <si>
    <t>Within 30 days of the change</t>
  </si>
  <si>
    <t>on every admission, resignation or transfer — every settlement that admits a partner fires this</t>
  </si>
  <si>
    <t>ST-09</t>
  </si>
  <si>
    <t>Form 15</t>
  </si>
  <si>
    <t>Change of registered office.</t>
  </si>
  <si>
    <t>Within 30 days</t>
  </si>
  <si>
    <t>on relocation</t>
  </si>
  <si>
    <t>ST-10</t>
  </si>
  <si>
    <t>DIR-3 KYC</t>
  </si>
  <si>
    <t>Annual KYC of every designated partner's DPIN.</t>
  </si>
  <si>
    <t>By 30 September each year</t>
  </si>
  <si>
    <t>ST-11</t>
  </si>
  <si>
    <t>CRZ clearance conditions</t>
  </si>
  <si>
    <t>State</t>
  </si>
  <si>
    <t>Conditions attached to the Coastal Regulation Zone approval — the approval itself is a Property Document (SP.4).</t>
  </si>
  <si>
    <t>As conditioned</t>
  </si>
  <si>
    <t>coastal properties — SlowSpace Coastal is one</t>
  </si>
  <si>
    <t>§33 AMENDMENT QUEUE</t>
  </si>
  <si>
    <t>Candidate objects the model needs and the ratified 27 do not contain. Ratifying one moves its constituents from `registered` to `object` without restructuring anything. This is Decision D-18.</t>
  </si>
  <si>
    <t>needed by 2 constituent(s)</t>
  </si>
  <si>
    <t>needed by 1 constituent(s)</t>
  </si>
  <si>
    <t>needed by 3 constituent(s)</t>
  </si>
  <si>
    <t>needed by 5 constituent(s)</t>
  </si>
  <si>
    <t>needed by 9 constituent(s)</t>
  </si>
  <si>
    <t>needed by 8 constituent(s)</t>
  </si>
  <si>
    <t>Codex category</t>
  </si>
  <si>
    <t>Codex tier</t>
  </si>
  <si>
    <t>Codex accountable owner</t>
  </si>
  <si>
    <t>Codex required action</t>
  </si>
  <si>
    <t>Codex closure evidence</t>
  </si>
  <si>
    <t>Codex gate</t>
  </si>
  <si>
    <t>Launch Blockers</t>
  </si>
  <si>
    <t>Tier 1</t>
  </si>
  <si>
    <t>Founders / Legal</t>
  </si>
  <si>
    <t>Engage qualified counsel; freeze public legal text until reviewed and approved.</t>
  </si>
  <si>
    <t>Counsel sign-off, controlled document versions, and publication authorization recorded.</t>
  </si>
  <si>
    <t>G0 · Legal boundary</t>
  </si>
  <si>
    <t>Founders / Engineering</t>
  </si>
  <si>
    <t>Remove public access to drafts, identifiers, and internal logic; approve a publication policy.</t>
  </si>
  <si>
    <t>Repository/access review and written publication approval.</t>
  </si>
  <si>
    <t>Verify every published entity fact from independent authoritative records.</t>
  </si>
  <si>
    <t>Verification log with source, verifier, date, expiry, and approved public wording.</t>
  </si>
  <si>
    <t>Engineering</t>
  </si>
  <si>
    <t>Implement production authentication with session expiry, revocation, and protected-route tests.</t>
  </si>
  <si>
    <t>End-to-end identity and protected-route test evidence in production-like environment.</t>
  </si>
  <si>
    <t>G1 · Safe entry</t>
  </si>
  <si>
    <t>Connect the governed schema to production persistence; replace static operational state.</t>
  </si>
  <si>
    <t>Migration record, backup/restore evidence, and record lifecycle test.</t>
  </si>
  <si>
    <t>G2 · Governed transaction</t>
  </si>
  <si>
    <t>Engineering + Finance</t>
  </si>
  <si>
    <t>Implement verified settlement and reconciliation before any commitment or capital-call action is exposed.</t>
  </si>
  <si>
    <t>Success/failure/reconciliation tests plus an owned support and reversal runbook.</t>
  </si>
  <si>
    <t>Product Completeness</t>
  </si>
  <si>
    <t>Tier 3</t>
  </si>
  <si>
    <t>Product + Engineering</t>
  </si>
  <si>
    <t>Maintain the closed composition-layer evidence; review public scope before broad launch.</t>
  </si>
  <si>
    <t>Route inventory confirms each exposed public surface is functional or clearly disclosed.</t>
  </si>
  <si>
    <t>G4 · Launch candidate</t>
  </si>
  <si>
    <t>Brand + Legal</t>
  </si>
  <si>
    <t>Publish only licensed, consented imagery with accurate render/drawing labels.</t>
  </si>
  <si>
    <t>Asset register covers licence, consent, provenance, label, approver, and expiry.</t>
  </si>
  <si>
    <t>Platform Readiness</t>
  </si>
  <si>
    <t>Tier 2</t>
  </si>
  <si>
    <t>Configure error reporting, alert ownership, and escalation for production failures.</t>
  </si>
  <si>
    <t>Deliberate-error test reaches the accountable on-call owner.</t>
  </si>
  <si>
    <t>G3 · Reliable runtime</t>
  </si>
  <si>
    <t>Rate-limit all public email/form endpoints and alert on abuse patterns.</t>
  </si>
  <si>
    <t>Automated rate-limit/rejection tests and documented alert thresholds.</t>
  </si>
  <si>
    <t>Legal + Product</t>
  </si>
  <si>
    <t>Implement recorded consent, preference handling, unsubscribe, and applicable marketing controls.</t>
  </si>
  <si>
    <t>Consent record, unsubscribe test, and policy-to-implementation review.</t>
  </si>
  <si>
    <t>Establish protected CI/CD with required checks, deployment approval, and rollback.</t>
  </si>
  <si>
    <t>Build/test/preview/release logs and a successful rollback exercise.</t>
  </si>
  <si>
    <t>Generate regulated and operational notifications with traceable delivery and preference logic.</t>
  </si>
  <si>
    <t>Delivery records, preference tests, and resend/escalation path evidence.</t>
  </si>
  <si>
    <t>Generate versioned PDFs/receipts with retention and retrieval controls.</t>
  </si>
  <si>
    <t>Representative outputs reviewed; version, retention, and retrieval test passes.</t>
  </si>
  <si>
    <t>Operational Maturity</t>
  </si>
  <si>
    <t>Tier 4</t>
  </si>
  <si>
    <t>Product + Legal</t>
  </si>
  <si>
    <t>Approve one risk taxonomy and reconcile registry, UI, legal material, and operations.</t>
  </si>
  <si>
    <t>Cross-surface taxonomy review signed by Product and Legal.</t>
  </si>
  <si>
    <t>Brand + Product</t>
  </si>
  <si>
    <t>Write the hierarchy between brand narrative and interface voice; apply it to critical paths.</t>
  </si>
  <si>
    <t>Approved copy principle and sample review of public, transactional, and failure states.</t>
  </si>
  <si>
    <t>Keep empty states explicit until verified press/gallery material exists; never invent social proof.</t>
  </si>
  <si>
    <t>Publication inventory with source approval and required content labels.</t>
  </si>
  <si>
    <t>Engineering + Operations</t>
  </si>
  <si>
    <t>Verify host plan/region support and complete a production deployment smoke test.</t>
  </si>
  <si>
    <t>Provider confirmation, environment separation checklist, smoke test, and rollback proof.</t>
  </si>
  <si>
    <t>G-19</t>
  </si>
  <si>
    <t>No persistent immutable audit log covers ownership, payment, legal acknowledgement, or document access.</t>
  </si>
  <si>
    <t>Disputed ownership, money movement, and legal evidence</t>
  </si>
  <si>
    <t>The domain model expresses audit intent, but the platform has no persisted append-only evidence trail.</t>
  </si>
  <si>
    <t>Engineering + Legal</t>
  </si>
  <si>
    <t>Persist an immutable audit record for ownership, payment, legal acknowledgement, and document access.</t>
  </si>
  <si>
    <t>Append-only audit record, retrieval test, access control, and retention policy evidence.</t>
  </si>
  <si>
    <t>G-20</t>
  </si>
  <si>
    <t>Authentication is not yet paired with an enforced production role/right/scope authorization model.</t>
  </si>
  <si>
    <t>Any sensitive member or office action</t>
  </si>
  <si>
    <t>lib/authority.ts models rights and grants; route/runtime enforcement is not integrated with real identity.</t>
  </si>
  <si>
    <t>Enforce role/right/scope authorization on every sensitive endpoint and operational action.</t>
  </si>
  <si>
    <t>Negative authorization tests and periodic access-review record.</t>
  </si>
  <si>
    <t>G-21</t>
  </si>
  <si>
    <t>No approved backup policy, restore test, RPO, or RTO exists for a future production database.</t>
  </si>
  <si>
    <t>Recovery from data loss or provider failure</t>
  </si>
  <si>
    <t>A database without a tested recovery objective is not a governed production system.</t>
  </si>
  <si>
    <t>Operations + Engineering</t>
  </si>
  <si>
    <t>Define backup policy, restore testing, RPO, and RTO for production data.</t>
  </si>
  <si>
    <t>Approved recovery policy and successful restore exercise measured against RPO/RTO.</t>
  </si>
  <si>
    <t>G-22</t>
  </si>
  <si>
    <t>No production secret inventory, rotation ownership, expiry control, or audit process exists.</t>
  </si>
  <si>
    <t>Secure operation of third-party integrations</t>
  </si>
  <si>
    <t>Environment variables are documented, but production secret governance is not yet established.</t>
  </si>
  <si>
    <t>Establish secret inventory, ownership, rotation, expiry, and audit controls.</t>
  </si>
  <si>
    <t>Secret register and a documented, successful rotation exercise.</t>
  </si>
  <si>
    <t>G-23</t>
  </si>
  <si>
    <t>No production monitoring covers uptime, latency, email/payment failures, or database health.</t>
  </si>
  <si>
    <t>Early detection and timely response</t>
  </si>
  <si>
    <t>Telemetry design exists, but it is not a monitored production control plane.</t>
  </si>
  <si>
    <t>Monitor uptime, API latency, email/payment failures, and database health with alerts.</t>
  </si>
  <si>
    <t>Dashboards, thresholds, alert routing, and weekly review evidence.</t>
  </si>
  <si>
    <t>G-24</t>
  </si>
  <si>
    <t>Accessibility</t>
  </si>
  <si>
    <t>No evidenced WCAG, keyboard, screen-reader, or contrast audit has been completed on launch-critical flows.</t>
  </si>
  <si>
    <t>Accessible external use and reliable compliance posture</t>
  </si>
  <si>
    <t>The design system declares accessibility contracts; independent flow-level verification remains required.</t>
  </si>
  <si>
    <t>Audit key flows for WCAG, keyboard, screen-reader, contrast, and reduced-motion behaviour.</t>
  </si>
  <si>
    <t>Accessibility report; critical defects closed or formally accepted by the accountable owner.</t>
  </si>
  <si>
    <t>G-25</t>
  </si>
  <si>
    <t>No recorded dependency, OWASP, CSP, security-header, or independent security review exists.</t>
  </si>
  <si>
    <t>Trustworthy external use</t>
  </si>
  <si>
    <t>Security design intent is not a substitute for a release evidence pack.</t>
  </si>
  <si>
    <t>Engineering + Security</t>
  </si>
  <si>
    <t>Complete dependency, OWASP, CSP, security-header, and independent security review.</t>
  </si>
  <si>
    <t>Risk report; critical findings closed or formally accepted before external scale.</t>
  </si>
  <si>
    <t>G-26</t>
  </si>
  <si>
    <t>Performance</t>
  </si>
  <si>
    <t>No approved and measured LCP, CLS, INP, bundle, image, or Lighthouse budgets exist.</t>
  </si>
  <si>
    <t>Reliable public performance at launch</t>
  </si>
  <si>
    <t>The design system refers to performance contracts; platform-wide targets are still absent.</t>
  </si>
  <si>
    <t>Engineering + Product</t>
  </si>
  <si>
    <t>Set measurable LCP, CLS, INP, bundle, image, and Lighthouse budgets.</t>
  </si>
  <si>
    <t>Representative public and signed-in performance report meets approved budgets.</t>
  </si>
  <si>
    <t>G-27</t>
  </si>
  <si>
    <t>Data governance</t>
  </si>
  <si>
    <t>No approved retention, archival, deletion, erasure, or record-ownership policy governs production records.</t>
  </si>
  <si>
    <t>Compliant data lifecycle management</t>
  </si>
  <si>
    <t>Future persistence must not precede data-governance decisions.</t>
  </si>
  <si>
    <t>Legal + Operations</t>
  </si>
  <si>
    <t>Define retention, archival, deletion, erasure, and data-record ownership.</t>
  </si>
  <si>
    <t>Approved schedule and tested request workflow with accountable record owner.</t>
  </si>
  <si>
    <t>G-28</t>
  </si>
  <si>
    <t>Business continuity</t>
  </si>
  <si>
    <t>No rehearsed procedure exists for payment, email, database, cloud, or deployment rollback outage.</t>
  </si>
  <si>
    <t>Orderly incident response and launch resilience</t>
  </si>
  <si>
    <t>Runbooks must be owned and exercised before broad public traffic.</t>
  </si>
  <si>
    <t>Create and rehearse continuity procedures for provider, database, cloud, email, payment, and rollback outages.</t>
  </si>
  <si>
    <t>Current runbooks and recorded tabletop/rehearsal with fixes closed.</t>
  </si>
  <si>
    <t>Codex linked gaps</t>
  </si>
  <si>
    <t>Codex decision rule</t>
  </si>
  <si>
    <t>Codex required evidence</t>
  </si>
  <si>
    <t>Codex launch impact</t>
  </si>
  <si>
    <t>Codex next action</t>
  </si>
  <si>
    <t>Codex recommended owner</t>
  </si>
  <si>
    <t>A named qualified counsel and written approval are required before public investor traffic.</t>
  </si>
  <si>
    <t>Counsel engagement, reviewed redlines, approval/version record.</t>
  </si>
  <si>
    <t>Public launch blocked until closed.</t>
  </si>
  <si>
    <t>Name counsel, scope the review, and set a review deadline.</t>
  </si>
  <si>
    <t>Default to private until legal and entity publication controls pass.</t>
  </si>
  <si>
    <t>Repository visibility decision and completed sensitive-content inventory.</t>
  </si>
  <si>
    <t>Approve private access or a documented sanitised-public scope.</t>
  </si>
  <si>
    <t>No legal entity fact may be published without independent verification.</t>
  </si>
  <si>
    <t>Authoritative entity extract, verifier, date, and approved wording.</t>
  </si>
  <si>
    <t>Provide the verification source and authorize the public record.</t>
  </si>
  <si>
    <t>Commercial terms must be legally reviewed before an external commitment is offered.</t>
  </si>
  <si>
    <t>Approved minimum/maximum ownership terms in the legal document set.</t>
  </si>
  <si>
    <t>Commitment launch blocked until reflected in approved terms.</t>
  </si>
  <si>
    <t>Confirm the 5% / 50% policy or replace both values.</t>
  </si>
  <si>
    <t>Founders + Legal</t>
  </si>
  <si>
    <t>G-06, G-14</t>
  </si>
  <si>
    <t>Tax treatment and receipt obligations need an accountant’s written position before payment enablement.</t>
  </si>
  <si>
    <t>Tax memo and approved receipt/invoice requirements.</t>
  </si>
  <si>
    <t>Payments remain disabled until resolved.</t>
  </si>
  <si>
    <t>Obtain accountant advice and choose the issuing document.</t>
  </si>
  <si>
    <t>Finance + Legal</t>
  </si>
  <si>
    <t>G-01, G-13</t>
  </si>
  <si>
    <t>Entitlement policy must be explicit and match the approved terms, notifications, and member records.</t>
  </si>
  <si>
    <t>Approved annual pool policy and capacity rationale.</t>
  </si>
  <si>
    <t>Member launch scope constrained until resolved.</t>
  </si>
  <si>
    <t>Confirm the annual entitlement range and owner for future review.</t>
  </si>
  <si>
    <t>Founders + Product</t>
  </si>
  <si>
    <t>Unused-night treatment must be legally and operationally defined before member allocation rules ship.</t>
  </si>
  <si>
    <t>Approved policy reflected in terms, notifications, and member settings.</t>
  </si>
  <si>
    <t>Member feature incomplete until resolved.</t>
  </si>
  <si>
    <t>Choose lapse, roll-over, or conversion; record effective date.</t>
  </si>
  <si>
    <t>Reporting cadence must be a service/communication commitment that operations can meet.</t>
  </si>
  <si>
    <t>Approved cadence, owner, template, and escalation path.</t>
  </si>
  <si>
    <t>Operational communications cannot be treated as complete until resolved.</t>
  </si>
  <si>
    <t>Select cadence and accountable publisher.</t>
  </si>
  <si>
    <t>Operations + Product</t>
  </si>
  <si>
    <t>One risk taxonomy must govern code, legal text, and interface colour semantics.</t>
  </si>
  <si>
    <t>Mapping table approved by Product and Legal.</t>
  </si>
  <si>
    <t>Launch candidate gate cannot pass without resolution or formal deferral.</t>
  </si>
  <si>
    <t>Approve mapping-first approach or authorize an amendment path.</t>
  </si>
  <si>
    <t>Interface and narrative copy need a written hierarchy, not an informal interpretation.</t>
  </si>
  <si>
    <t>Approved voice rule and critical-path copy review.</t>
  </si>
  <si>
    <t>Ratify the proposed hierarchy or issue a replacement rule.</t>
  </si>
  <si>
    <t>DNS cutover is a release decision: a production smoke test and rollback authority must exist first.</t>
  </si>
  <si>
    <t>Approved cutover window, Vercel configuration, smoke test, rollback owner.</t>
  </si>
  <si>
    <t>No broad launch before successful controlled cutover.</t>
  </si>
  <si>
    <t>Choose the cutover window and name rollback authority.</t>
  </si>
  <si>
    <t>Founders + Engineering</t>
  </si>
  <si>
    <t>A data-residency claim must match the actual hosting plan and configuration.</t>
  </si>
  <si>
    <t>Provider confirmation and environment configuration evidence.</t>
  </si>
  <si>
    <t>Do not publish the residency claim until verified.</t>
  </si>
  <si>
    <t>Confirm plan capability or remove/replace the claim.</t>
  </si>
  <si>
    <t>G-09, G-23</t>
  </si>
  <si>
    <t>Error monitoring must have named on-call ownership and alert routing.</t>
  </si>
  <si>
    <t>Configured account, test alert, escalation roster, and review cadence.</t>
  </si>
  <si>
    <t>Reliable-runtime gate blocked until closed.</t>
  </si>
  <si>
    <t>Open account, connect environments, and nominate on-call owner.</t>
  </si>
  <si>
    <t>Only provenance-cleared media may replace labelled drawings.</t>
  </si>
  <si>
    <t>Asset register and legal/brand approval for each published item.</t>
  </si>
  <si>
    <t>Content remains intentionally sparse until evidence exists.</t>
  </si>
  <si>
    <t>Choose labelled drawings now or approve a photography brief and budget.</t>
  </si>
  <si>
    <t>G-07, G-17</t>
  </si>
  <si>
    <t>Public scope must be selected intentionally; unsupported public surfaces must stay explicit or unavailable.</t>
  </si>
  <si>
    <t>Approved public route/content inventory with owners.</t>
  </si>
  <si>
    <t>Launch candidate gate requires an approved public inventory.</t>
  </si>
  <si>
    <t>Prioritise public routes by legal, transaction, and credibility impact.</t>
  </si>
  <si>
    <t>G-10, G-11</t>
  </si>
  <si>
    <t>Outbound email requires a verified sending domain, consent controls, unsubscribe, and abuse protection.</t>
  </si>
  <si>
    <t>Verified domain plus end-to-end send, unsubscribe, and rate-limit tests.</t>
  </si>
  <si>
    <t>Public email flows remain off until closed.</t>
  </si>
  <si>
    <t>Verify domain and appoint communications owner.</t>
  </si>
  <si>
    <t>G-11, G-27</t>
  </si>
  <si>
    <t>Traffic jurisdiction determines privacy obligations; assume the stricter case until a lawful restriction exists.</t>
  </si>
  <si>
    <t>Written jurisdiction decision and updated privacy/retention controls.</t>
  </si>
  <si>
    <t>External marketing scope constrained until resolved.</t>
  </si>
  <si>
    <t>Confirm accepted jurisdictions or authorize a compliant geo-restriction.</t>
  </si>
  <si>
    <t>Legal + Founders</t>
  </si>
  <si>
    <t>G-05, G-19</t>
  </si>
  <si>
    <t>Constitutional amendments must precede persistence for newly material business objects.</t>
  </si>
  <si>
    <t>Ratified amendment record and generated registry/schema evidence.</t>
  </si>
  <si>
    <t>No data model extension outside ratified scope.</t>
  </si>
  <si>
    <t>Prioritise the amendment queue through the constitutional process.</t>
  </si>
  <si>
    <t>Founders + Governance</t>
  </si>
  <si>
    <t>G-01, G-19</t>
  </si>
  <si>
    <t>Audit-threshold policy must be grounded in counsel/accountant advice and applied per entity where needed.</t>
  </si>
  <si>
    <t>Approved statutory interpretation and vehicle applicability record.</t>
  </si>
  <si>
    <t>Financial/legal reporting assumptions remain provisional until closed.</t>
  </si>
  <si>
    <t>Confirm standing policy or define the per-vehicle exception process.</t>
  </si>
  <si>
    <t>D-20</t>
  </si>
  <si>
    <t>Identity &amp; access</t>
  </si>
  <si>
    <t>Choose the production authentication provider, authorization model, and periodic access-review owner.</t>
  </si>
  <si>
    <t>Use a provider with session revocation and implement rights/scope checks from the existing authority model.</t>
  </si>
  <si>
    <t>G-04, G-20</t>
  </si>
  <si>
    <t>Authentication and authorization must ship together; identity alone does not grant authority.</t>
  </si>
  <si>
    <t>Provider selection, role/right/scope policy, negative tests, access-review schedule.</t>
  </si>
  <si>
    <t>Safe-entry gate blocked until closed.</t>
  </si>
  <si>
    <t>Approve provider and accountable access-review owner.</t>
  </si>
  <si>
    <t>D-21</t>
  </si>
  <si>
    <t>Audit</t>
  </si>
  <si>
    <t>Approve the immutable audit-record scope, retention period, and retrieval authority.</t>
  </si>
  <si>
    <t>Start with ownership, payment, legal acknowledgement, and document access; preserve append-only evidence.</t>
  </si>
  <si>
    <t>Audit records must be immutable, scoped, retrievable, and retained by policy.</t>
  </si>
  <si>
    <t>Approved scope/retention and a working append-only retrieval test.</t>
  </si>
  <si>
    <t>Governed-transaction gate blocked until closed.</t>
  </si>
  <si>
    <t>Approve scope, retention, and retrieval authority.</t>
  </si>
  <si>
    <t>Legal + Engineering</t>
  </si>
  <si>
    <t>D-22</t>
  </si>
  <si>
    <t>Disaster recovery</t>
  </si>
  <si>
    <t>Approve RPO, RTO, backup frequency, restore-test cadence, and accountable owner.</t>
  </si>
  <si>
    <t>Set conservative written objectives before persistence begins; test restore before external scale.</t>
  </si>
  <si>
    <t>Recovery objectives must be explicit and tested, not implied by a hosting provider.</t>
  </si>
  <si>
    <t>Approved RPO/RTO and successful restore drill.</t>
  </si>
  <si>
    <t>Approve objectives and recovery owner.</t>
  </si>
  <si>
    <t>D-23</t>
  </si>
  <si>
    <t>Secrets</t>
  </si>
  <si>
    <t>Choose the production secret store and approve rotation/expiry ownership.</t>
  </si>
  <si>
    <t>Use managed secrets with inventory and scheduled rotation; never rely on unmanaged long-lived environment values.</t>
  </si>
  <si>
    <t>Each production secret needs an owner, expiry/rotation rule, and audit trail.</t>
  </si>
  <si>
    <t>Secret register and completed rotation drill.</t>
  </si>
  <si>
    <t>Choose the managed store and owners.</t>
  </si>
  <si>
    <t>D-24</t>
  </si>
  <si>
    <t>Monitoring</t>
  </si>
  <si>
    <t>Name the on-call owner and approve monitoring/alert thresholds for critical services.</t>
  </si>
  <si>
    <t>Cover uptime, latency, email, payments, database health, and deployment failure from day one.</t>
  </si>
  <si>
    <t>Monitoring is only operational when alerts reach a named responder with a documented escalation path.</t>
  </si>
  <si>
    <t>Alert test, escalation roster, dashboard, and weekly review.</t>
  </si>
  <si>
    <t>Name on-call and approve thresholds.</t>
  </si>
  <si>
    <t>D-25</t>
  </si>
  <si>
    <t>Approve the launch accessibility standard and the person authorized to accept residual risk.</t>
  </si>
  <si>
    <t>Meet WCAG 2.2 AA on launch-critical flows; no critical keyboard or screen-reader defect remains open.</t>
  </si>
  <si>
    <t>Accessibility requires independent flow-level evidence in addition to design-system intent.</t>
  </si>
  <si>
    <t>WCAG 2.2 AA audit and critical-defect closure record.</t>
  </si>
  <si>
    <t>Launch-candidate gate blocked until closed or formally scoped out.</t>
  </si>
  <si>
    <t>Approve the standard and residual-risk authority.</t>
  </si>
  <si>
    <t>D-26</t>
  </si>
  <si>
    <t>Authorize an independent security review and decide who may accept any residual critical risk.</t>
  </si>
  <si>
    <t>No critical vulnerability is accepted for public launch; evidence must cover OWASP, CSP, headers, and dependencies.</t>
  </si>
  <si>
    <t>Security release acceptance must be based on evidence and a named risk accepter.</t>
  </si>
  <si>
    <t>Security report with critical findings resolved.</t>
  </si>
  <si>
    <t>Authorize review and residual-risk authority.</t>
  </si>
  <si>
    <t>D-27</t>
  </si>
  <si>
    <t>Approve measurable launch performance budgets and an exception owner.</t>
  </si>
  <si>
    <t>Set LCP, CLS, INP, bundle, image, and Lighthouse budgets for representative routes.</t>
  </si>
  <si>
    <t>Performance budgets need a named business owner and pre-approved exception path.</t>
  </si>
  <si>
    <t>Baseline report against approved budgets.</t>
  </si>
  <si>
    <t>Approve budgets and exception owner.</t>
  </si>
  <si>
    <t>D-28</t>
  </si>
  <si>
    <t>Approve retention, archival, deletion, erasure, and record-ownership policy.</t>
  </si>
  <si>
    <t>Treat this as a legal/operational prerequisite to production persistence, not post-launch cleanup.</t>
  </si>
  <si>
    <t>Data governance must be decided before production records are created.</t>
  </si>
  <si>
    <t>Approved lifecycle policy and tested data-subject/request workflow.</t>
  </si>
  <si>
    <t>Approve lifecycle policy and record owners.</t>
  </si>
  <si>
    <t>D-29</t>
  </si>
  <si>
    <t>Name the incident commander and approve outage/rollback runbooks and rehearsal cadence.</t>
  </si>
  <si>
    <t>Rehearse payment, email, database, cloud, and deployment rollback before broad public launch.</t>
  </si>
  <si>
    <t>Continuity needs ownership and rehearsal, not a static document.</t>
  </si>
  <si>
    <t>Runbooks plus tabletop/rehearsal evidence and remedial actions.</t>
  </si>
  <si>
    <t>Name commander and approve rehearsal cadence.</t>
  </si>
  <si>
    <t>GETAWAY COLLECTIVE · GO-LIVE LAUNCH PLAN</t>
  </si>
  <si>
    <t>Decision-led plan · public launch only after every Tier 1 gate is evidenced</t>
  </si>
  <si>
    <t>ARCHITECTURE</t>
  </si>
  <si>
    <t>PRODUCT</t>
  </si>
  <si>
    <t>PRODUCTION</t>
  </si>
  <si>
    <t>LEGAL / OPS</t>
  </si>
  <si>
    <t>Mature conceptual system</t>
  </si>
  <si>
    <t>Polished but scaffold-heavy</t>
  </si>
  <si>
    <t>Execution work remains</t>
  </si>
  <si>
    <t>External sign-off required</t>
  </si>
  <si>
    <t>THE LAUNCH RULE</t>
  </si>
  <si>
    <t>Do not use public traffic to test identity, money movement, legal terms, or entity facts. A closed pilot may begin only after Tier 1 evidence is complete and all pilot participants are explicitly invited; broad public launch follows the final operational rehearsal and Go/No-Go sign-off.</t>
  </si>
  <si>
    <t>SEQUENCE — RELATIVE WEEKS, NOT A DATE PROMISE</t>
  </si>
  <si>
    <t>Phase</t>
  </si>
  <si>
    <t>Window</t>
  </si>
  <si>
    <t>Objective</t>
  </si>
  <si>
    <t>Primary owner</t>
  </si>
  <si>
    <t>Exit evidence</t>
  </si>
  <si>
    <t>Blocks</t>
  </si>
  <si>
    <t>Decision</t>
  </si>
  <si>
    <t>0 · Lock the boundary</t>
  </si>
  <si>
    <t>Week 0</t>
  </si>
  <si>
    <t>Remove public governance exposure and name accountable owners.</t>
  </si>
  <si>
    <t>Legal review scope, repository visibility decision, entity-verification protocol.</t>
  </si>
  <si>
    <t>Any public launch</t>
  </si>
  <si>
    <t>Approve launch scope</t>
  </si>
  <si>
    <t>1 · Make entry safe</t>
  </si>
  <si>
    <t>Weeks 1–2</t>
  </si>
  <si>
    <t>Authenticate, authorize, rate-limit, and make consent/comms compliant.</t>
  </si>
  <si>
    <t>End-to-end identity and access tests; consent, unsubscribe, and abuse tests pass.</t>
  </si>
  <si>
    <t>Pilot</t>
  </si>
  <si>
    <t>Open invited pilot</t>
  </si>
  <si>
    <t>2 · Make money real</t>
  </si>
  <si>
    <t>Weeks 2–4</t>
  </si>
  <si>
    <t>Replace static state with a governed data layer and a verified payment path.</t>
  </si>
  <si>
    <t>Migration, reconciliation, payment success/failure, and audit-event evidence.</t>
  </si>
  <si>
    <t>Commitments / calls</t>
  </si>
  <si>
    <t>Enable controlled transactions</t>
  </si>
  <si>
    <t>3 · Make operations recoverable</t>
  </si>
  <si>
    <t>Weeks 3–6</t>
  </si>
  <si>
    <t>Instrument, secure, deploy predictably, and prove recovery.</t>
  </si>
  <si>
    <t>Monitoring alerts, rollback drill, restore drill, security and accessibility evidence.</t>
  </si>
  <si>
    <t>Meaningful external usage</t>
  </si>
  <si>
    <t>Approve external beta</t>
  </si>
  <si>
    <t>4 · Complete launch surface</t>
  </si>
  <si>
    <t>Weeks 5–7</t>
  </si>
  <si>
    <t>Close public-facing capability and content gaps without weakening controls.</t>
  </si>
  <si>
    <t>Product + Brand</t>
  </si>
  <si>
    <t>Content provenance, notification/PDF paths, scaffold review, approved public inventory.</t>
  </si>
  <si>
    <t>Broad launch quality</t>
  </si>
  <si>
    <t>Freeze launch candidate</t>
  </si>
  <si>
    <t>5 · Rehearse and decide</t>
  </si>
  <si>
    <t>Week 8</t>
  </si>
  <si>
    <t>Run incident, payment, email, and legal-acknowledgement drills; sign Go/No-Go.</t>
  </si>
  <si>
    <t>Founders + Operations</t>
  </si>
  <si>
    <t>All Tier 1 rows evidenced; gate owners sign; no unresolved critical incident.</t>
  </si>
  <si>
    <t>Broad public launch</t>
  </si>
  <si>
    <t>Go / No-Go</t>
  </si>
  <si>
    <t>OPERATING CADENCE</t>
  </si>
  <si>
    <t>Cadence</t>
  </si>
  <si>
    <t>Attendees</t>
  </si>
  <si>
    <t>Purpose</t>
  </si>
  <si>
    <t>Output</t>
  </si>
  <si>
    <t>Daily launch stand-up</t>
  </si>
  <si>
    <t>Engineering, Product, Operations</t>
  </si>
  <si>
    <t>Unblock critical work and surface operational risk.</t>
  </si>
  <si>
    <t>One owner and next action per red gap.</t>
  </si>
  <si>
    <t>Weekly gate review</t>
  </si>
  <si>
    <t>Gate owners + Founders</t>
  </si>
  <si>
    <t>Review only evidence, exceptions, and decisions.</t>
  </si>
  <si>
    <t>Signed gate status: Pass / Conditional / Fail.</t>
  </si>
  <si>
    <t>Launch rehearsal</t>
  </si>
  <si>
    <t>All accountable functions</t>
  </si>
  <si>
    <t>Exercise payment, email, outage, rollback, and complaint paths.</t>
  </si>
  <si>
    <t>Runbook corrections and final Go/No-Go packet.</t>
  </si>
  <si>
    <t>SOURCE BASIS</t>
  </si>
  <si>
    <t>Repository evidence: GC-BUILD-STATE.xlsx (1 Aug 2026); authentication currently resolves anonymous, the build-state workbook states database/authentication/payments are absent, and 82 of 135 routes are scaffolds. Architecture/design references confirm strong information architecture, domain modeling, legal acknowledgement patterns, audit intent, motion/brand governance, and accessibility/performance contracts. This plan treats unimplemented runtime controls as launch risk, not a design failure.</t>
  </si>
  <si>
    <t>LAUNCH GAP REGISTER · SINGLE SOURCE OF GO/NO-GO WORK</t>
  </si>
  <si>
    <t>All rows remain Open until the evidence in column I is reviewed and accepted by the named owner. Tier 1 is non-negotiable for any public launch.</t>
  </si>
  <si>
    <t>Tier</t>
  </si>
  <si>
    <t>Workstream</t>
  </si>
  <si>
    <t>Required outcome</t>
  </si>
  <si>
    <t>Accountable owner</t>
  </si>
  <si>
    <t>Gate</t>
  </si>
  <si>
    <t>Key dependency</t>
  </si>
  <si>
    <t>Evidence to close</t>
  </si>
  <si>
    <t>Independent legal review and approved launch document set.</t>
  </si>
  <si>
    <t>G0</t>
  </si>
  <si>
    <t>Entity facts</t>
  </si>
  <si>
    <t>Counsel approval, version register, publication authorization.</t>
  </si>
  <si>
    <t>Make repository private or remove all legal drafts, identifiers, and internal logic from public access.</t>
  </si>
  <si>
    <t>Repository inventory</t>
  </si>
  <si>
    <t>Access review and written publication policy.</t>
  </si>
  <si>
    <t>Independently verify every published entity fact.</t>
  </si>
  <si>
    <t>Source documents</t>
  </si>
  <si>
    <t>Verification log with source, verifier, date, and expiry.</t>
  </si>
  <si>
    <t>Identity</t>
  </si>
  <si>
    <t>Implement production authentication; protected routes cannot remain anonymous fail-closed.</t>
  </si>
  <si>
    <t>G1</t>
  </si>
  <si>
    <t>Identity provider</t>
  </si>
  <si>
    <t>Sign-in, session expiry, revocation, and protected-route tests.</t>
  </si>
  <si>
    <t>Persist production records; replace static data for commitments and governed operations.</t>
  </si>
  <si>
    <t>G2</t>
  </si>
  <si>
    <t>Schema and migration</t>
  </si>
  <si>
    <t>Production migration, backup, restore, and record lifecycle test.</t>
  </si>
  <si>
    <t>No commitment/call flow may present until its verified settlement path is live.</t>
  </si>
  <si>
    <t>Payment provider</t>
  </si>
  <si>
    <t>Success, failure, reconciliation, and support reversal runbook.</t>
  </si>
  <si>
    <t>Abuse prevention</t>
  </si>
  <si>
    <t>Rate-limit public email and form endpoints.</t>
  </si>
  <si>
    <t>Endpoint inventory</t>
  </si>
  <si>
    <t>Rate-limit, abuse alert, and rejection-path tests.</t>
  </si>
  <si>
    <t>Implement recorded consent, unsubscribe, and marketing compliance.</t>
  </si>
  <si>
    <t>Approved policy</t>
  </si>
  <si>
    <t>Consent record, preference handling, unsubscribe tests.</t>
  </si>
  <si>
    <t>Error reporting</t>
  </si>
  <si>
    <t>Configure Sentry or equivalent error capture with ownership and alert routing.</t>
  </si>
  <si>
    <t>G3</t>
  </si>
  <si>
    <t>Environment config</t>
  </si>
  <si>
    <t>Deliberate-error test reaches on-call owner.</t>
  </si>
  <si>
    <t>Delivery</t>
  </si>
  <si>
    <t>Establish CI/CD with protected deploys and required checks.</t>
  </si>
  <si>
    <t>Source control policy</t>
  </si>
  <si>
    <t>Build, tests, preview, approval, and rollback evidence.</t>
  </si>
  <si>
    <t>Release</t>
  </si>
  <si>
    <t>Verify production deployment and environment separation.</t>
  </si>
  <si>
    <t>CI/CD</t>
  </si>
  <si>
    <t>Release checklist, smoke test, and rollback drill.</t>
  </si>
  <si>
    <t>Auditability</t>
  </si>
  <si>
    <t>Persist immutable audit records for ownership, payment, legal acknowledgement, and document access.</t>
  </si>
  <si>
    <t>Data model</t>
  </si>
  <si>
    <t>Append-only audit record and retrieval test.</t>
  </si>
  <si>
    <t>Authorization</t>
  </si>
  <si>
    <t>Enforce mature role/right/scope authorization at every sensitive endpoint.</t>
  </si>
  <si>
    <t>Authentication</t>
  </si>
  <si>
    <t>Negative authorization tests and periodic access review.</t>
  </si>
  <si>
    <t>Establish secret ownership, rotation, expiry, and audit controls.</t>
  </si>
  <si>
    <t>Hosting provider</t>
  </si>
  <si>
    <t>Secret register and rotation exercise.</t>
  </si>
  <si>
    <t>Monitor uptime, API latency, email/payment failures, and database health.</t>
  </si>
  <si>
    <t>Production runtime</t>
  </si>
  <si>
    <t>Dashboards, thresholds, alert routing, weekly review.</t>
  </si>
  <si>
    <t>Complete dependency, OWASP, CSP, header, and independent security review.</t>
  </si>
  <si>
    <t>Production host</t>
  </si>
  <si>
    <t>Risk report; critical findings closed or formally accepted.</t>
  </si>
  <si>
    <t>Set and verify measurable LCP, CLS, INP, bundle, image, and Lighthouse budgets.</t>
  </si>
  <si>
    <t>Production build</t>
  </si>
  <si>
    <t>Budget report from representative public and signed-in paths.</t>
  </si>
  <si>
    <t>Surfaces</t>
  </si>
  <si>
    <t>Replace priority registry scaffolds with working user-facing flows.</t>
  </si>
  <si>
    <t>G4</t>
  </si>
  <si>
    <t>G1–G3</t>
  </si>
  <si>
    <t>Approved route inventory; no public scaffold presented as complete.</t>
  </si>
  <si>
    <t>Photography</t>
  </si>
  <si>
    <t>Publish licensed, consented, and accurately labeled imagery.</t>
  </si>
  <si>
    <t>Asset register</t>
  </si>
  <si>
    <t>Asset provenance and labeling review.</t>
  </si>
  <si>
    <t>Deliver and trace regulated and operational notifications.</t>
  </si>
  <si>
    <t>G5 + G19</t>
  </si>
  <si>
    <t>Delivery records, preferences, and resend/escalation test.</t>
  </si>
  <si>
    <t>Generate and retain correct PDF documents and receipts.</t>
  </si>
  <si>
    <t>Versioned output, retention, retrieval, and sample review.</t>
  </si>
  <si>
    <t>Press / Gallery</t>
  </si>
  <si>
    <t>Ship only verified public content; leave empty states explicit until evidence exists.</t>
  </si>
  <si>
    <t>G-03 + G-08</t>
  </si>
  <si>
    <t>Publication inventory and source approval.</t>
  </si>
  <si>
    <t>Design governance</t>
  </si>
  <si>
    <t>Reconcile risk taxonomy across registry, UI, legal material, and operations.</t>
  </si>
  <si>
    <t>Single approved taxonomy and cross-surface review.</t>
  </si>
  <si>
    <t>Brand governance</t>
  </si>
  <si>
    <t>Reconcile brand voice across public, transactional, and failure states.</t>
  </si>
  <si>
    <t>Content inventory</t>
  </si>
  <si>
    <t>Brand review and approved copy register.</t>
  </si>
  <si>
    <t>Define backup policy, restore testing, RPO, and RTO.</t>
  </si>
  <si>
    <t>Approved policy and successful restore drill.</t>
  </si>
  <si>
    <t>Run WCAG, keyboard, screen-reader, and contrast audit on key flows.</t>
  </si>
  <si>
    <t>Launch candidate</t>
  </si>
  <si>
    <t>Audit report; critical defects closed or accepted.</t>
  </si>
  <si>
    <t>Define retention, archival, deletion, erasure, and record ownership.</t>
  </si>
  <si>
    <t>G-01 + G-05</t>
  </si>
  <si>
    <t>Approved schedule and tested request workflow.</t>
  </si>
  <si>
    <t>Create tested procedures for provider, database, cloud, and rollback outages.</t>
  </si>
  <si>
    <t>G-21 + G-23</t>
  </si>
  <si>
    <t>Runbooks and recorded tabletop exercise.</t>
  </si>
  <si>
    <t>LAUNCH GATES · DECISION PACKET</t>
  </si>
  <si>
    <t>Minimum evidence</t>
  </si>
  <si>
    <t>Accountable sign-off</t>
  </si>
  <si>
    <t>Pass condition</t>
  </si>
  <si>
    <t>If failed</t>
  </si>
  <si>
    <t>May any public statement or entity fact remain visible?</t>
  </si>
  <si>
    <t>G-01, G-02, G-03 closed.</t>
  </si>
  <si>
    <t>Approved document set and verified publication inventory.</t>
  </si>
  <si>
    <t>Remove from public visibility; do not launch.</t>
  </si>
  <si>
    <t>May an invited person identify and interact?</t>
  </si>
  <si>
    <t>G-04, G-10, G-11, G-20 closed.</t>
  </si>
  <si>
    <t>Authentication, authorization, abuse, and consent tests pass.</t>
  </si>
  <si>
    <t>No pilot; keep sensitive routes unavailable.</t>
  </si>
  <si>
    <t>May money or ownership data move?</t>
  </si>
  <si>
    <t>G-05, G-06, G-19 closed.</t>
  </si>
  <si>
    <t>Engineering + Finance + Legal</t>
  </si>
  <si>
    <t>Persisted records, settlement/reconciliation, immutable audit evidence.</t>
  </si>
  <si>
    <t>No commitments, calls, payments, or ownership changes.</t>
  </si>
  <si>
    <t>May meaningful external usage begin?</t>
  </si>
  <si>
    <t>G-09, G-12, G-18, G-21, G-22, G-23, G-25, G-26, G-27, G-28 closed.</t>
  </si>
  <si>
    <t>Monitoring, security, recovery, release, and governance drills pass.</t>
  </si>
  <si>
    <t>Restrict exposure; remediate before scale.</t>
  </si>
  <si>
    <t>Is the experience complete and trustworthy?</t>
  </si>
  <si>
    <t>G-07, G-08, G-13, G-14, G-15, G-16, G-17, G-24 closed or formally deferred without regulatory/decision impact.</t>
  </si>
  <si>
    <t>Product + Brand + Legal</t>
  </si>
  <si>
    <t>Public inventory, content provenance, accessibility, and design governance approved.</t>
  </si>
  <si>
    <t>Do not broaden launch; remove incomplete scope.</t>
  </si>
  <si>
    <t>G5 · Go / No-Go</t>
  </si>
  <si>
    <t>May the public launch occur?</t>
  </si>
  <si>
    <t>G0–G4 pass; rehearsal complete; no critical unresolved incident.</t>
  </si>
  <si>
    <t>Founders</t>
  </si>
  <si>
    <t>Signed decision packet with scope, support owner, and rollback authority.</t>
  </si>
  <si>
    <t>Hold launch; set new review date after remediation.</t>
  </si>
  <si>
    <t>RULE: evidence, not optimism. A gap may be accepted only by the accountable owner, and no Tier 1 exception is compatible with a public launch.</t>
  </si>
  <si>
    <t>Getaway Collective — Enterprise Operating Model v2.0</t>
  </si>
  <si>
    <t>## Operating rule</t>
  </si>
  <si>
    <t>Getaway Collective is a constitutional capital, governance, and portfolio</t>
  </si>
  <si>
    <t>platform. It does not become an operating company for hospitality,</t>
  </si>
  <si>
    <t>construction, engineering, technology, tax, or marketing work.</t>
  </si>
  <si>
    <t>&gt; Humans make fiduciary decisions. AI manages information. Partner firms execute defined work.</t>
  </si>
  <si>
    <t>A title, employer, or partner engagement never creates authority. Authority is</t>
  </si>
  <si>
    <t>always a named, time-bound grant to an identity, with enterprise or LLP scope,</t>
  </si>
  <si>
    <t>recorded reason, grantor, and review date.</t>
  </si>
  <si>
    <t>## Constitutional operating platform</t>
  </si>
  <si>
    <t>```text</t>
  </si>
  <si>
    <t xml:space="preserve">                         GETAWAY COLLECTIVE</t>
  </si>
  <si>
    <t xml:space="preserve">                   Capital · Governance · Portfolio</t>
  </si>
  <si>
    <t xml:space="preserve">       Shared Chief Executive      VP — Portfolio &amp; Platform</t>
  </si>
  <si>
    <t xml:space="preserve">       Enterprise direction        Enterprise integration</t>
  </si>
  <si>
    <t xml:space="preserve">                                  </t>
  </si>
  <si>
    <t xml:space="preserve">      ┌───────────────┬────────────────┬────────────────┐</t>
  </si>
  <si>
    <t xml:space="preserve">      │               │                │                │</t>
  </si>
  <si>
    <t>Investor Office   Portfolio Office  Governance Office  AI Operating Layer</t>
  </si>
  <si>
    <t>capital relation  LLP/asset control constitutional    GC-01 / GC-02</t>
  </si>
  <si>
    <t xml:space="preserve">                                      integrity</t>
  </si>
  <si>
    <t>```</t>
  </si>
  <si>
    <t>### Executive leadership</t>
  </si>
  <si>
    <t>| Constitutional function | Accountable leader | May decide | Must not decide alone |</t>
  </si>
  <si>
    <t>| --- | --- | --- | --- |</t>
  </si>
  <si>
    <t>| Enterprise direction | Shared Chief Executive | strategy, executive appointment proposals, institutional relationships, Board reporting | resolutions, regulated approvals, or an exception to separation of powers |</t>
  </si>
  <si>
    <t>| Enterprise integration | VP — Portfolio &amp; Platform | portfolio cadence, risk escalation, partner coordination, workflow completion | investment approval, financial execution, governance review, or a binding legal position without the required office or resolution |</t>
  </si>
  <si>
    <t>### Internal constitutional functions</t>
  </si>
  <si>
    <t>| Function | Purpose | Core workflow ownership | Existing authority home |</t>
  </si>
  <si>
    <t>| Investor Office | capital relations and investor continuity | enquiry, qualification, document collection, meeting preparation, reporting dispatch, escalation | Executive Office plus Compliance Office for explicit acceptance/accreditation grants |</t>
  </si>
  <si>
    <t>| Portfolio Office | LLP and portfolio control | vehicle lifecycle, acquisition docket, reserve/debt review, valuation and exit preparation | Investment Committee and Executive Office |</t>
  </si>
  <si>
    <t>| Governance Office | constitutional integrity | policy/version register, resolutions, conflicts, statutory calendar, decision register, authority administration | Governance Office, Board, Audit &amp; Risk Committee, Governance &amp; Ethics Committee |</t>
  </si>
  <si>
    <t>| AI Operating Layer | information coordination, monitoring, drafting, task routing, and escalation | alerts, board-pack assembly, status synthesis, docket preparation, communications continuity | no fiduciary authority; no constitutional grant capable of approval or execution |</t>
  </si>
  <si>
    <t>## Partner-firm model</t>
  </si>
  <si>
    <t>Partner firms are capacity umbrellas. They may supply several disciplines under</t>
  </si>
  <si>
    <t>one engagement, but neither the firm nor a discipline label receives a blanket</t>
  </si>
  <si>
    <t>constitutional grant.</t>
  </si>
  <si>
    <t>| Partner-firm umbrella | Bundled capability | Constitutional boundary | Typical access posture |</t>
  </si>
  <si>
    <t>| Governance &amp; Financial Compliance Partner | chartered accountancy, tax, company-secretarial work, statutory filing coordination, audit liaison | prepares records and filings; does not approve policy, move capital, or resolve governance | vehicle-scoped read/write working-docket access; named personnel may receive `compliance.record` only when required |</t>
  </si>
  <si>
    <t>| Legal &amp; Entity Advisory Partner | legal counsel, LLP formation support, contract drafting, regulatory interpretation | advises and drafts; does not publish binding documents or approve a resolution | need-to-know document access; no `content.publish`, `policy.approve`, or `resolution.resolve` grant by default |</t>
  </si>
  <si>
    <t>| Portfolio &amp; Technical Advisory Partner | valuation, technical diligence, quantity surveying, architecture, project controls | produces independent evidence; does not approve acquisition, deploy capital, or advance the asset lifecycle | dossier upload/review access restricted to the relevant LLP and work item |</t>
  </si>
  <si>
    <t>| Banking, Debt &amp; Insurance Partner | debt advisory, banking coordination, insurance brokerage | obtains quotations and records; does not draw debt, change coverage, or execute distributions | read-only financial evidence and task-specific upload access |</t>
  </si>
  <si>
    <t>| Digital Platform Partner | web maintenance, engineering, security monitoring, release work, accessibility and performance remediation | operates approved technical work; has no capital, ownership, compliance, or governance decision right | separate operational access with least privilege, environment separation, expiry, session audit, and emergency revocation |</t>
  </si>
  <si>
    <t>| Brand &amp; Communications Partner | public copy production, photography, design production, press coordination | creates materials; cannot put legal or binding content in force | asset/content workspace access; publication remains with the Governance Office or the approved constitutional process |</t>
  </si>
  <si>
    <t>| Operating Partner | property and hospitality delivery under approved agreement | executes the contracted operating plan; cannot alter ownership, capital terms, or governance | LLP-scoped operational work queue and document access only |</t>
  </si>
  <si>
    <t>## Access Admin design</t>
  </si>
  <si>
    <t>The Access Admin must manage six distinct records. It must never grant a</t>
  </si>
  <si>
    <t>constitutional right to a company record.</t>
  </si>
  <si>
    <t>1. **Partner firm** — legal entity, capability umbrellas, engagement status,</t>
  </si>
  <si>
    <t xml:space="preserve">   conflicts, insurance, and contract dates.</t>
  </si>
  <si>
    <t>2. **Named identity** — a human connected to a partner firm or internal</t>
  </si>
  <si>
    <t xml:space="preserve">   function, with identity verification and an individual sign-in.</t>
  </si>
  <si>
    <t>3. **Engagement** — firm-to-enterprise or firm-to-LLP mandate, scope,</t>
  </si>
  <si>
    <t xml:space="preserve">   deliverables, confidentiality, conflict position, start/end date, and owner.</t>
  </si>
  <si>
    <t>4. **Constitutional appointment** — an internal office/committee appointment;</t>
  </si>
  <si>
    <t xml:space="preserve">   this is not interchangeable with employment or a vendor engagement.</t>
  </si>
  <si>
    <t>5. **Authority grant** — named identity, right, enterprise/LLP scope, grantor,</t>
  </si>
  <si>
    <t xml:space="preserve">   reason, effective date, expiry, and revocation record.</t>
  </si>
  <si>
    <t>6. **Workflow assignment** — work item, accountable constitutional function,</t>
  </si>
  <si>
    <t xml:space="preserve">   executing firm, named assignee, reviewer, decision owner, deadline, and</t>
  </si>
  <si>
    <t xml:space="preserve">   evidence.</t>
  </si>
  <si>
    <t>### Access rules</t>
  </si>
  <si>
    <t>- A partner firm can be engaged across many LLPs; each LLP scope is explicit.</t>
  </si>
  <si>
    <t xml:space="preserve">  identity; conflicts are assessed before a grant becomes live.</t>
  </si>
  <si>
    <t xml:space="preserve">  grant has an expiry and review date.</t>
  </si>
  <si>
    <t xml:space="preserve">  Digital Platform Partner may fix the platform but cannot see or change</t>
  </si>
  <si>
    <t xml:space="preserve">  capital, ownership, accreditation, legal acknowledgement, or resolution</t>
  </si>
  <si>
    <t xml:space="preserve">  records unless a separate, narrow, auditable approval is present.</t>
  </si>
  <si>
    <t xml:space="preserve">  holder may combine investment approval, financial execution, and governance</t>
  </si>
  <si>
    <t xml:space="preserve">  review.</t>
  </si>
  <si>
    <t>## Workflow architecture</t>
  </si>
  <si>
    <t>### 1. Partner onboarding and renewal</t>
  </si>
  <si>
    <t>`Candidate firm → diligence → conflict disclosure → engagement approval → named personnel → identity verification → scoped access request → separation check → grant → periodic review → renewal or revocation`</t>
  </si>
  <si>
    <t>**Control points:** Governance Office owns the engagement register; the</t>
  </si>
  <si>
    <t>requesting constitutional function confirms need; the grantor records reason;</t>
  </si>
  <si>
    <t>Access Admin rejects a missing LLP scope, missing expiry, or failed separation</t>
  </si>
  <si>
    <t>check.</t>
  </si>
  <si>
    <t>### 2. LLP work docket</t>
  </si>
  <si>
    <t>`GC-01 detects or receives a work item → Portfolio/Governance/Investor Office owns it → executing partner firm receives task → named assignee submits evidence → constitutional reviewer validates → decision owner approves or escalates → immutable record closes`</t>
  </si>
  <si>
    <t>Examples:</t>
  </si>
  <si>
    <t xml:space="preserve">  engagement, while each deliverable still has a named CA/CS assignee and a</t>
  </si>
  <si>
    <t xml:space="preserve">  Governance Office reviewer.</t>
  </si>
  <si>
    <t>- Website maintenance, security remediation, software release, accessibility,</t>
  </si>
  <si>
    <t xml:space="preserve">  and performance work flow to one Digital Platform Partner engagement. The</t>
  </si>
  <si>
    <t xml:space="preserve">  partner completes the task; an internal release owner accepts the evidence;</t>
  </si>
  <si>
    <t xml:space="preserve">  no partner identity receives capital or governance authority.</t>
  </si>
  <si>
    <t>### 3. Authority lifecycle</t>
  </si>
  <si>
    <t>`Request → verify engagement/appointment → define right + scope + expiry → conflict and separation check → grantor approval → session logging → 30-day expiry review → renew, reduce, or revoke`</t>
  </si>
  <si>
    <t>Required views in Access Admin:</t>
  </si>
  <si>
    <t xml:space="preserve">  person with assigned work, or a task awaiting a constitutionally authorised</t>
  </si>
  <si>
    <t xml:space="preserve">  reviewer.</t>
  </si>
  <si>
    <t>### 4. AI escalation</t>
  </si>
  <si>
    <t>GC-01 and GC-02 may draft, classify, monitor, route, remind, and assemble</t>
  </si>
  <si>
    <t>information. They must create an escalation—not an approval—when a matter</t>
  </si>
  <si>
    <t>involves:</t>
  </si>
  <si>
    <t>- investment or capital allocation;</t>
  </si>
  <si>
    <t>- investor accreditation, commitment acceptance, or binding agreement;</t>
  </si>
  <si>
    <t xml:space="preserve">  matter;</t>
  </si>
  <si>
    <t>- authority grant/revocation, policy, resolution, conflict, or exception; or</t>
  </si>
  <si>
    <t xml:space="preserve">  threshold.</t>
  </si>
  <si>
    <t>The escalation carries source records, a factual summary, proposed next steps,</t>
  </si>
  <si>
    <t>the required human decision owner, and a deadline. The human outcome is then</t>
  </si>
  <si>
    <t>written back to the workflow record.</t>
  </si>
  <si>
    <t>## Build order</t>
  </si>
  <si>
    <t>1. Keep the current rights-first authority model; do not add a super-admin or</t>
  </si>
  <si>
    <t xml:space="preserve">   company-level authority.</t>
  </si>
  <si>
    <t>2. Build **Partner Firms**, **Engagements**, **Named Personnel**, and</t>
  </si>
  <si>
    <t xml:space="preserve">   **Workflow Assignments** ahead of broad external access.</t>
  </si>
  <si>
    <t>3. Build the **Access Admin** views for grants, expiries, revocations,</t>
  </si>
  <si>
    <t xml:space="preserve">   unassigned rights, separation alerts, and LLP scope.</t>
  </si>
  <si>
    <t>4. Add the Digital Platform Partner operational-access layer separately from</t>
  </si>
  <si>
    <t xml:space="preserve">   domain authority, with session audit, expiry, environment segregation, and</t>
  </si>
  <si>
    <t xml:space="preserve">   emergency revocation.</t>
  </si>
  <si>
    <t>5. Add GC-01 task/exception orchestration first; add GC-02 conversation</t>
  </si>
  <si>
    <t xml:space="preserve">   continuity only after identity, consent, authorization, and audit controls</t>
  </si>
  <si>
    <t xml:space="preserve">   are production-ready.</t>
  </si>
  <si>
    <t>This structure scales to many LLPs because partner firms are reusable capacity</t>
  </si>
  <si>
    <t>umbrellas, while each decision, grant, task, and escalation stays attached to</t>
  </si>
  <si>
    <t>the correct constitutional function, named human, and LLP scope.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</si>
</sst>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0.0%"/>
  </numFmts>
  <fonts count="22" x14ac:knownFonts="1">
    <font>
      <sz val="11"/>
      <color theme="1"/>
      <name val="Calibri"/>
    </font>
    <font>
      <sz val="10"/>
      <name val="Arial"/>
      <family val="2"/>
    </font>
    <font>
      <b/>
      <sz val="16"/>
      <name val="Arial"/>
      <family val="2"/>
    </font>
    <font>
      <sz val="10"/>
      <color rgb="FF6B6B6B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sz val="9"/>
      <name val="Consolas"/>
      <family val="3"/>
    </font>
    <font>
      <b/>
      <sz val="10"/>
      <color rgb="FF177F43"/>
      <name val="Arial"/>
      <family val="2"/>
    </font>
    <font>
      <b/>
      <sz val="10"/>
      <color rgb="FFC00000"/>
      <name val="Arial"/>
      <family val="2"/>
    </font>
    <font>
      <b/>
      <sz val="10"/>
      <color rgb="FFBE4915"/>
      <name val="Arial"/>
      <family val="2"/>
    </font>
    <font>
      <sz val="9"/>
      <color rgb="FF1F2A24"/>
      <name val="Arial"/>
      <family val="2"/>
    </font>
    <font>
      <sz val="10"/>
      <color rgb="FF111111"/>
      <name val="Arial"/>
      <family val="2"/>
    </font>
    <font>
      <b/>
      <sz val="18"/>
      <color rgb="FFFFFFFF"/>
      <name val="Calibri"/>
      <family val="2"/>
    </font>
    <font>
      <i/>
      <sz val="10"/>
      <color rgb="FF66615A"/>
      <name val="Calibri"/>
      <family val="2"/>
    </font>
    <font>
      <b/>
      <sz val="10"/>
      <color rgb="FFFFFFFF"/>
      <name val="Calibri"/>
      <family val="2"/>
    </font>
    <font>
      <sz val="10"/>
      <color rgb="FF1B1B1B"/>
      <name val="Calibri"/>
      <family val="2"/>
    </font>
    <font>
      <b/>
      <sz val="11"/>
      <color rgb="FF1B1B1B"/>
      <name val="Calibri"/>
      <family val="2"/>
    </font>
    <font>
      <b/>
      <sz val="11"/>
      <color rgb="FFFFFFFF"/>
      <name val="Calibri"/>
      <family val="2"/>
    </font>
    <font>
      <sz val="9"/>
      <color rgb="FF66615A"/>
      <name val="Calibri"/>
      <family val="2"/>
    </font>
    <font>
      <b/>
      <sz val="16"/>
      <color rgb="FFFFFFFF"/>
      <name val="Calibri"/>
      <family val="2"/>
    </font>
    <font>
      <b/>
      <sz val="10"/>
      <color rgb="FF1B1B1B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0A0A0A"/>
      </patternFill>
    </fill>
    <fill>
      <patternFill patternType="solid">
        <fgColor rgb="FFF2F2F2"/>
      </patternFill>
    </fill>
    <fill>
      <patternFill patternType="solid">
        <fgColor rgb="FFFFFF00"/>
      </patternFill>
    </fill>
    <fill>
      <patternFill patternType="solid">
        <fgColor rgb="FF0A0A0A"/>
      </patternFill>
    </fill>
    <fill>
      <patternFill patternType="solid">
        <fgColor rgb="FFF1F5F2"/>
      </patternFill>
    </fill>
    <fill>
      <patternFill patternType="solid">
        <fgColor rgb="FFFFF200"/>
      </patternFill>
    </fill>
    <fill>
      <patternFill patternType="solid">
        <fgColor rgb="FF14251F"/>
      </patternFill>
    </fill>
    <fill>
      <patternFill patternType="solid">
        <fgColor rgb="FFF7F5EF"/>
      </patternFill>
    </fill>
    <fill>
      <patternFill patternType="solid">
        <fgColor rgb="FF2F5D50"/>
      </patternFill>
    </fill>
    <fill>
      <patternFill patternType="solid">
        <fgColor rgb="FFEEF1EC"/>
      </patternFill>
    </fill>
    <fill>
      <patternFill patternType="solid">
        <fgColor rgb="FFFFF6E7"/>
      </patternFill>
    </fill>
  </fills>
  <borders count="14">
    <border>
      <left/>
      <right/>
      <top/>
      <bottom/>
      <diagonal/>
    </border>
    <border>
      <left/>
      <right/>
      <top/>
      <bottom style="thin">
        <color rgb="FFD0D0D0"/>
      </bottom>
      <diagonal/>
    </border>
    <border>
      <left style="thin">
        <color rgb="FFD9DED9"/>
      </left>
      <right style="thin">
        <color rgb="FFD9DED9"/>
      </right>
      <top style="thin">
        <color rgb="FFD9DED9"/>
      </top>
      <bottom style="thin">
        <color rgb="FFD9DE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A86432"/>
      </left>
      <right/>
      <top style="thin">
        <color rgb="FFA86432"/>
      </top>
      <bottom/>
      <diagonal/>
    </border>
    <border>
      <left/>
      <right/>
      <top style="thin">
        <color rgb="FFA86432"/>
      </top>
      <bottom/>
      <diagonal/>
    </border>
    <border>
      <left/>
      <right style="thin">
        <color rgb="FFA86432"/>
      </right>
      <top style="thin">
        <color rgb="FFA86432"/>
      </top>
      <bottom/>
      <diagonal/>
    </border>
    <border>
      <left style="thin">
        <color rgb="FFA86432"/>
      </left>
      <right/>
      <top/>
      <bottom style="thin">
        <color rgb="FFA86432"/>
      </bottom>
      <diagonal/>
    </border>
    <border>
      <left/>
      <right/>
      <top/>
      <bottom style="thin">
        <color rgb="FFA86432"/>
      </bottom>
      <diagonal/>
    </border>
    <border>
      <left/>
      <right style="thin">
        <color rgb="FFA86432"/>
      </right>
      <top/>
      <bottom style="thin">
        <color rgb="FFA86432"/>
      </bottom>
      <diagonal/>
    </border>
    <border>
      <left/>
      <right/>
      <top/>
      <bottom style="thin">
        <color rgb="FFD7D1C8"/>
      </bottom>
      <diagonal/>
    </border>
    <border>
      <left style="thin">
        <color rgb="FFA86432"/>
      </left>
      <right/>
      <top style="thin">
        <color rgb="FFA86432"/>
      </top>
      <bottom style="thin">
        <color rgb="FFA86432"/>
      </bottom>
      <diagonal/>
    </border>
    <border>
      <left/>
      <right/>
      <top style="thin">
        <color rgb="FFA86432"/>
      </top>
      <bottom style="thin">
        <color rgb="FFA86432"/>
      </bottom>
      <diagonal/>
    </border>
    <border>
      <left/>
      <right style="thin">
        <color rgb="FFA86432"/>
      </right>
      <top style="thin">
        <color rgb="FFA86432"/>
      </top>
      <bottom style="thin">
        <color rgb="FFA86432"/>
      </bottom>
      <diagonal/>
    </border>
  </borders>
  <cellStyleXfs count="6">
    <xf numFmtId="0" fontId="0" fillId="0" borderId="0"/>
    <xf numFmtId="43" fontId="1" fillId="0" borderId="0" applyBorder="0" applyAlignment="0" applyProtection="0"/>
    <xf numFmtId="41" fontId="1" fillId="0" borderId="0" applyBorder="0" applyAlignment="0" applyProtection="0"/>
    <xf numFmtId="44" fontId="1" fillId="0" borderId="0" applyBorder="0" applyAlignment="0" applyProtection="0"/>
    <xf numFmtId="42" fontId="1" fillId="0" borderId="0" applyBorder="0" applyAlignment="0" applyProtection="0"/>
    <xf numFmtId="9" fontId="1" fillId="0" borderId="0" applyBorder="0" applyAlignment="0" applyProtection="0"/>
  </cellStyleXfs>
  <cellXfs count="51">
    <xf numFmtId="0" fontId="0" fillId="0" borderId="0" xfId="0"/>
    <xf numFmtId="0" fontId="3" fillId="3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top" wrapText="1"/>
    </xf>
    <xf numFmtId="0" fontId="5" fillId="0" borderId="0" xfId="0" applyFont="1"/>
    <xf numFmtId="0" fontId="3" fillId="0" borderId="0" xfId="0" applyFont="1" applyAlignment="1">
      <alignment vertical="top" wrapText="1"/>
    </xf>
    <xf numFmtId="0" fontId="6" fillId="2" borderId="0" xfId="0" applyFont="1" applyFill="1"/>
    <xf numFmtId="164" fontId="5" fillId="0" borderId="0" xfId="0" applyNumberFormat="1" applyFont="1"/>
    <xf numFmtId="164" fontId="4" fillId="0" borderId="0" xfId="0" applyNumberFormat="1" applyFont="1"/>
    <xf numFmtId="0" fontId="6" fillId="2" borderId="0" xfId="0" applyFont="1" applyFill="1" applyAlignment="1">
      <alignment vertical="center" wrapText="1"/>
    </xf>
    <xf numFmtId="0" fontId="7" fillId="0" borderId="1" xfId="0" applyFont="1" applyBorder="1" applyAlignment="1">
      <alignment vertical="top"/>
    </xf>
    <xf numFmtId="0" fontId="5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5" fillId="0" borderId="1" xfId="0" applyFont="1" applyBorder="1" applyAlignment="1">
      <alignment vertical="top" wrapText="1"/>
    </xf>
    <xf numFmtId="0" fontId="7" fillId="3" borderId="1" xfId="0" applyFont="1" applyFill="1" applyBorder="1" applyAlignment="1">
      <alignment vertical="top"/>
    </xf>
    <xf numFmtId="0" fontId="5" fillId="3" borderId="1" xfId="0" applyFont="1" applyFill="1" applyBorder="1" applyAlignment="1">
      <alignment vertical="top"/>
    </xf>
    <xf numFmtId="0" fontId="8" fillId="3" borderId="1" xfId="0" applyFont="1" applyFill="1" applyBorder="1" applyAlignment="1">
      <alignment vertical="top"/>
    </xf>
    <xf numFmtId="0" fontId="5" fillId="3" borderId="1" xfId="0" applyFont="1" applyFill="1" applyBorder="1" applyAlignment="1">
      <alignment vertical="top" wrapText="1"/>
    </xf>
    <xf numFmtId="0" fontId="9" fillId="0" borderId="1" xfId="0" applyFont="1" applyBorder="1" applyAlignment="1">
      <alignment vertical="top"/>
    </xf>
    <xf numFmtId="0" fontId="9" fillId="3" borderId="1" xfId="0" applyFont="1" applyFill="1" applyBorder="1" applyAlignment="1">
      <alignment vertical="top"/>
    </xf>
    <xf numFmtId="0" fontId="10" fillId="0" borderId="1" xfId="0" applyFont="1" applyBorder="1" applyAlignment="1">
      <alignment vertical="top"/>
    </xf>
    <xf numFmtId="0" fontId="10" fillId="3" borderId="1" xfId="0" applyFont="1" applyFill="1" applyBorder="1" applyAlignment="1">
      <alignment vertical="top"/>
    </xf>
    <xf numFmtId="0" fontId="5" fillId="4" borderId="1" xfId="0" applyFont="1" applyFill="1" applyBorder="1" applyAlignment="1">
      <alignment vertical="top"/>
    </xf>
    <xf numFmtId="0" fontId="9" fillId="4" borderId="1" xfId="0" applyFont="1" applyFill="1" applyBorder="1" applyAlignment="1">
      <alignment vertical="top"/>
    </xf>
    <xf numFmtId="0" fontId="4" fillId="3" borderId="0" xfId="0" applyFont="1" applyFill="1"/>
    <xf numFmtId="0" fontId="6" fillId="5" borderId="0" xfId="0" applyFont="1" applyFill="1" applyAlignment="1">
      <alignment vertical="center" wrapText="1"/>
    </xf>
    <xf numFmtId="0" fontId="11" fillId="6" borderId="2" xfId="0" applyFont="1" applyFill="1" applyBorder="1" applyAlignment="1">
      <alignment vertical="top" wrapText="1"/>
    </xf>
    <xf numFmtId="0" fontId="12" fillId="0" borderId="3" xfId="0" applyFont="1" applyBorder="1" applyAlignment="1">
      <alignment vertical="top" wrapText="1"/>
    </xf>
    <xf numFmtId="0" fontId="12" fillId="7" borderId="3" xfId="0" applyFont="1" applyFill="1" applyBorder="1" applyAlignment="1">
      <alignment vertical="top" wrapText="1"/>
    </xf>
    <xf numFmtId="0" fontId="13" fillId="8" borderId="0" xfId="0" applyFont="1" applyFill="1" applyAlignment="1">
      <alignment vertical="top" wrapText="1"/>
    </xf>
    <xf numFmtId="0" fontId="14" fillId="9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5" fillId="10" borderId="0" xfId="0" applyFont="1" applyFill="1" applyAlignment="1">
      <alignment horizontal="left" vertical="top" wrapText="1"/>
    </xf>
    <xf numFmtId="0" fontId="16" fillId="11" borderId="0" xfId="0" applyFont="1" applyFill="1" applyAlignment="1">
      <alignment vertical="top" wrapText="1"/>
    </xf>
    <xf numFmtId="0" fontId="17" fillId="12" borderId="4" xfId="0" applyFont="1" applyFill="1" applyBorder="1" applyAlignment="1">
      <alignment vertical="top" wrapText="1"/>
    </xf>
    <xf numFmtId="0" fontId="17" fillId="12" borderId="5" xfId="0" applyFont="1" applyFill="1" applyBorder="1" applyAlignment="1">
      <alignment vertical="top" wrapText="1"/>
    </xf>
    <xf numFmtId="0" fontId="17" fillId="12" borderId="6" xfId="0" applyFont="1" applyFill="1" applyBorder="1" applyAlignment="1">
      <alignment vertical="top" wrapText="1"/>
    </xf>
    <xf numFmtId="0" fontId="17" fillId="12" borderId="7" xfId="0" applyFont="1" applyFill="1" applyBorder="1" applyAlignment="1">
      <alignment vertical="top" wrapText="1"/>
    </xf>
    <xf numFmtId="0" fontId="17" fillId="12" borderId="8" xfId="0" applyFont="1" applyFill="1" applyBorder="1" applyAlignment="1">
      <alignment vertical="top" wrapText="1"/>
    </xf>
    <xf numFmtId="0" fontId="17" fillId="12" borderId="9" xfId="0" applyFont="1" applyFill="1" applyBorder="1" applyAlignment="1">
      <alignment vertical="top" wrapText="1"/>
    </xf>
    <xf numFmtId="0" fontId="18" fillId="8" borderId="0" xfId="0" applyFont="1" applyFill="1" applyAlignment="1">
      <alignment horizontal="left" vertical="top" wrapText="1"/>
    </xf>
    <xf numFmtId="0" fontId="16" fillId="0" borderId="0" xfId="0" applyFont="1" applyAlignment="1">
      <alignment vertical="top" wrapText="1"/>
    </xf>
    <xf numFmtId="0" fontId="16" fillId="0" borderId="10" xfId="0" applyFont="1" applyBorder="1" applyAlignment="1">
      <alignment vertical="top" wrapText="1"/>
    </xf>
    <xf numFmtId="0" fontId="19" fillId="9" borderId="0" xfId="0" applyFont="1" applyFill="1" applyAlignment="1">
      <alignment vertical="top" wrapText="1"/>
    </xf>
    <xf numFmtId="0" fontId="20" fillId="8" borderId="0" xfId="0" applyFont="1" applyFill="1" applyAlignment="1">
      <alignment vertical="top" wrapText="1"/>
    </xf>
    <xf numFmtId="0" fontId="21" fillId="12" borderId="11" xfId="0" applyFont="1" applyFill="1" applyBorder="1" applyAlignment="1">
      <alignment vertical="top" wrapText="1"/>
    </xf>
    <xf numFmtId="0" fontId="21" fillId="12" borderId="12" xfId="0" applyFont="1" applyFill="1" applyBorder="1" applyAlignment="1">
      <alignment vertical="top" wrapText="1"/>
    </xf>
    <xf numFmtId="0" fontId="21" fillId="12" borderId="13" xfId="0" applyFont="1" applyFill="1" applyBorder="1" applyAlignment="1">
      <alignment vertical="top" wrapText="1"/>
    </xf>
  </cellXfs>
  <cellStyles count="6">
    <cellStyle name="Comma" xfId="1" xr:uid="{00000000-0005-0000-0000-000001000000}"/>
    <cellStyle name="Comma [0]" xfId="2" xr:uid="{00000000-0005-0000-0000-000002000000}"/>
    <cellStyle name="Currency" xfId="3" xr:uid="{00000000-0005-0000-0000-000003000000}"/>
    <cellStyle name="Currency [0]" xfId="4" xr:uid="{00000000-0005-0000-0000-000004000000}"/>
    <cellStyle name="Normal" xfId="0" builtinId="0"/>
    <cellStyle name="Percent" xfId="5" xr:uid="{00000000-0005-0000-0000-000005000000}"/>
  </cellStyles>
  <dxfs count="4">
    <dxf>
      <font>
        <b/>
        <color rgb="FF8C3131"/>
      </font>
      <fill>
        <patternFill patternType="solid">
          <bgColor rgb="FFF4CCCC"/>
        </patternFill>
      </fill>
    </dxf>
    <dxf>
      <font>
        <b/>
        <color rgb="FF2F6B47"/>
      </font>
      <fill>
        <patternFill patternType="solid">
          <bgColor rgb="FFD9EAD3"/>
        </patternFill>
      </fill>
    </dxf>
    <dxf>
      <font>
        <b/>
        <color rgb="FF8C3131"/>
      </font>
      <fill>
        <patternFill patternType="solid">
          <bgColor rgb="FFF4CCCC"/>
        </patternFill>
      </fill>
    </dxf>
    <dxf>
      <font>
        <b/>
        <color rgb="FF2F6B47"/>
      </font>
      <fill>
        <patternFill patternType="solid">
          <bgColor rgb="FFD9EAD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C6635"/>
      <rgbColor rgb="FF800080"/>
      <rgbColor rgb="FF177F43"/>
      <rgbColor rgb="FFC79F6B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061DE"/>
      <rgbColor rgb="FF33CCCC"/>
      <rgbColor rgb="FF99CC00"/>
      <rgbColor rgb="FFFFCC00"/>
      <rgbColor rgb="FFFF9900"/>
      <rgbColor rgb="FFE8672E"/>
      <rgbColor rgb="FF6B6B6B"/>
      <rgbColor rgb="FF9A9A9A"/>
      <rgbColor rgb="FF003366"/>
      <rgbColor rgb="FF339966"/>
      <rgbColor rgb="FF0C3024"/>
      <rgbColor rgb="FF0A0A0A"/>
      <rgbColor rgb="FFBE4915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857250</xdr:colOff>
      <xdr:row>21</xdr:row>
      <xdr:rowOff>657225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FB85789D-66EA-EE77-4B4E-136DA1FA16F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A0A0A"/>
  </sheetPr>
  <dimension ref="A1:B20"/>
  <sheetViews>
    <sheetView workbookViewId="0"/>
  </sheetViews>
  <sheetFormatPr defaultColWidth="8.7109375" defaultRowHeight="15" x14ac:dyDescent="0.25"/>
  <cols>
    <col min="1" max="1" width="26" customWidth="1"/>
    <col min="2" max="2" width="104" customWidth="1"/>
  </cols>
  <sheetData>
    <row r="1" spans="1:2" ht="20.25" x14ac:dyDescent="0.3">
      <c r="A1" s="3" t="s">
        <v>0</v>
      </c>
    </row>
    <row r="2" spans="1:2" x14ac:dyDescent="0.25">
      <c r="A2" s="4" t="s">
        <v>1</v>
      </c>
    </row>
    <row r="4" spans="1:2" ht="27.75" customHeight="1" x14ac:dyDescent="0.25">
      <c r="A4" s="5" t="s">
        <v>2</v>
      </c>
      <c r="B4" s="6" t="s">
        <v>3</v>
      </c>
    </row>
    <row r="5" spans="1:2" ht="27.75" customHeight="1" x14ac:dyDescent="0.25">
      <c r="A5" s="5" t="s">
        <v>4</v>
      </c>
      <c r="B5" s="6" t="s">
        <v>5</v>
      </c>
    </row>
    <row r="6" spans="1:2" x14ac:dyDescent="0.25">
      <c r="A6" s="7"/>
      <c r="B6" s="6"/>
    </row>
    <row r="7" spans="1:2" x14ac:dyDescent="0.25">
      <c r="A7" s="5" t="s">
        <v>6</v>
      </c>
      <c r="B7" s="6" t="s">
        <v>7</v>
      </c>
    </row>
    <row r="8" spans="1:2" x14ac:dyDescent="0.25">
      <c r="A8" s="7" t="s">
        <v>8</v>
      </c>
      <c r="B8" s="6" t="s">
        <v>9</v>
      </c>
    </row>
    <row r="9" spans="1:2" x14ac:dyDescent="0.25">
      <c r="A9" s="7" t="s">
        <v>10</v>
      </c>
      <c r="B9" s="6" t="s">
        <v>11</v>
      </c>
    </row>
    <row r="10" spans="1:2" ht="27.75" customHeight="1" x14ac:dyDescent="0.25">
      <c r="A10" s="7" t="s">
        <v>12</v>
      </c>
      <c r="B10" s="6" t="s">
        <v>13</v>
      </c>
    </row>
    <row r="11" spans="1:2" x14ac:dyDescent="0.25">
      <c r="A11" s="7"/>
      <c r="B11" s="6"/>
    </row>
    <row r="12" spans="1:2" x14ac:dyDescent="0.25">
      <c r="A12" s="5" t="s">
        <v>14</v>
      </c>
      <c r="B12" s="6"/>
    </row>
    <row r="13" spans="1:2" x14ac:dyDescent="0.25">
      <c r="A13" s="7" t="s">
        <v>15</v>
      </c>
      <c r="B13" s="6" t="s">
        <v>16</v>
      </c>
    </row>
    <row r="14" spans="1:2" ht="27.75" customHeight="1" x14ac:dyDescent="0.25">
      <c r="A14" s="7" t="s">
        <v>17</v>
      </c>
      <c r="B14" s="6" t="s">
        <v>18</v>
      </c>
    </row>
    <row r="15" spans="1:2" x14ac:dyDescent="0.25">
      <c r="A15" s="7" t="s">
        <v>19</v>
      </c>
      <c r="B15" s="6" t="s">
        <v>20</v>
      </c>
    </row>
    <row r="16" spans="1:2" x14ac:dyDescent="0.25">
      <c r="A16" s="7" t="s">
        <v>21</v>
      </c>
      <c r="B16" s="6" t="s">
        <v>22</v>
      </c>
    </row>
    <row r="17" spans="1:2" x14ac:dyDescent="0.25">
      <c r="A17" s="7"/>
      <c r="B17" s="6"/>
    </row>
    <row r="18" spans="1:2" ht="27.75" customHeight="1" x14ac:dyDescent="0.25">
      <c r="A18" s="5" t="s">
        <v>23</v>
      </c>
      <c r="B18" s="6" t="s">
        <v>24</v>
      </c>
    </row>
    <row r="19" spans="1:2" x14ac:dyDescent="0.25">
      <c r="A19" s="7"/>
      <c r="B19" s="6"/>
    </row>
    <row r="20" spans="1:2" ht="27.75" customHeight="1" x14ac:dyDescent="0.25">
      <c r="A20" s="5" t="s">
        <v>25</v>
      </c>
      <c r="B20" s="6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79F6B"/>
  </sheetPr>
  <dimension ref="A1:E54"/>
  <sheetViews>
    <sheetView workbookViewId="0"/>
  </sheetViews>
  <sheetFormatPr defaultColWidth="8.7109375" defaultRowHeight="15" x14ac:dyDescent="0.25"/>
  <cols>
    <col min="1" max="1" width="30" customWidth="1"/>
    <col min="2" max="4" width="14" customWidth="1"/>
    <col min="5" max="5" width="62" customWidth="1"/>
  </cols>
  <sheetData>
    <row r="1" spans="1:5" ht="20.25" x14ac:dyDescent="0.3">
      <c r="A1" s="3" t="s">
        <v>27</v>
      </c>
    </row>
    <row r="2" spans="1:5" x14ac:dyDescent="0.25">
      <c r="A2" s="4" t="s">
        <v>28</v>
      </c>
    </row>
    <row r="4" spans="1:5" ht="25.5" x14ac:dyDescent="0.25">
      <c r="A4" s="5" t="s">
        <v>29</v>
      </c>
      <c r="E4" s="8" t="s">
        <v>30</v>
      </c>
    </row>
    <row r="5" spans="1:5" x14ac:dyDescent="0.25">
      <c r="A5" s="9"/>
      <c r="B5" s="9" t="s">
        <v>31</v>
      </c>
      <c r="C5" s="9" t="s">
        <v>32</v>
      </c>
    </row>
    <row r="6" spans="1:5" x14ac:dyDescent="0.25">
      <c r="A6" s="7" t="s">
        <v>33</v>
      </c>
      <c r="B6" s="7">
        <f>COUNTIF(IA!I$5:I$139,A6)</f>
        <v>133</v>
      </c>
      <c r="C6" s="10">
        <f>IFERROR(B6/$B$10,0)</f>
        <v>0.98518518518518516</v>
      </c>
    </row>
    <row r="7" spans="1:5" x14ac:dyDescent="0.25">
      <c r="A7" s="7" t="s">
        <v>34</v>
      </c>
      <c r="B7" s="7">
        <f>COUNTIF(IA!I$5:I$139,A7)</f>
        <v>0</v>
      </c>
      <c r="C7" s="10">
        <f>IFERROR(B7/$B$10,0)</f>
        <v>0</v>
      </c>
    </row>
    <row r="8" spans="1:5" x14ac:dyDescent="0.25">
      <c r="A8" s="7" t="s">
        <v>35</v>
      </c>
      <c r="B8" s="7">
        <f>COUNTIF(IA!I$5:I$139,A8)</f>
        <v>2</v>
      </c>
      <c r="C8" s="10">
        <f>IFERROR(B8/$B$10,0)</f>
        <v>1.4814814814814815E-2</v>
      </c>
    </row>
    <row r="9" spans="1:5" x14ac:dyDescent="0.25">
      <c r="A9" s="7" t="s">
        <v>36</v>
      </c>
      <c r="B9" s="7">
        <f>COUNTIF(IA!I$5:I$139,A9)</f>
        <v>0</v>
      </c>
      <c r="C9" s="10">
        <f>IFERROR(B9/$B$10,0)</f>
        <v>0</v>
      </c>
    </row>
    <row r="10" spans="1:5" x14ac:dyDescent="0.25">
      <c r="A10" s="5" t="s">
        <v>37</v>
      </c>
      <c r="B10" s="5">
        <f>SUM(B6:B9)</f>
        <v>135</v>
      </c>
      <c r="C10" s="11">
        <f>IFERROR(B10/$B$10,0)</f>
        <v>1</v>
      </c>
    </row>
    <row r="12" spans="1:5" ht="38.25" x14ac:dyDescent="0.25">
      <c r="A12" s="5" t="s">
        <v>38</v>
      </c>
      <c r="E12" s="8" t="s">
        <v>39</v>
      </c>
    </row>
    <row r="13" spans="1:5" x14ac:dyDescent="0.25">
      <c r="A13" s="9"/>
      <c r="B13" s="9" t="s">
        <v>31</v>
      </c>
      <c r="C13" s="9" t="s">
        <v>32</v>
      </c>
    </row>
    <row r="14" spans="1:5" x14ac:dyDescent="0.25">
      <c r="A14" s="7" t="s">
        <v>40</v>
      </c>
      <c r="B14" s="7">
        <f>COUNTIF(IA!E$5:E$139,A14)</f>
        <v>51</v>
      </c>
      <c r="C14" s="10">
        <f t="shared" ref="C14:C19" si="0">IFERROR(B14/$B$19,0)</f>
        <v>0.37777777777777777</v>
      </c>
    </row>
    <row r="15" spans="1:5" x14ac:dyDescent="0.25">
      <c r="A15" s="7" t="s">
        <v>41</v>
      </c>
      <c r="B15" s="7">
        <f>COUNTIF(IA!E$5:E$139,A15)</f>
        <v>18</v>
      </c>
      <c r="C15" s="10">
        <f t="shared" si="0"/>
        <v>0.13333333333333333</v>
      </c>
    </row>
    <row r="16" spans="1:5" x14ac:dyDescent="0.25">
      <c r="A16" s="7" t="s">
        <v>42</v>
      </c>
      <c r="B16" s="7">
        <f>COUNTIF(IA!E$5:E$139,A16)</f>
        <v>3</v>
      </c>
      <c r="C16" s="10">
        <f t="shared" si="0"/>
        <v>2.2222222222222223E-2</v>
      </c>
    </row>
    <row r="17" spans="1:5" x14ac:dyDescent="0.25">
      <c r="A17" s="7" t="s">
        <v>43</v>
      </c>
      <c r="B17" s="7">
        <f>COUNTIF(IA!E$5:E$139,A17)</f>
        <v>26</v>
      </c>
      <c r="C17" s="10">
        <f t="shared" si="0"/>
        <v>0.19259259259259259</v>
      </c>
    </row>
    <row r="18" spans="1:5" x14ac:dyDescent="0.25">
      <c r="A18" s="7" t="s">
        <v>44</v>
      </c>
      <c r="B18" s="7">
        <f>COUNTIF(IA!E$5:E$139,A18)</f>
        <v>37</v>
      </c>
      <c r="C18" s="10">
        <f t="shared" si="0"/>
        <v>0.27407407407407408</v>
      </c>
    </row>
    <row r="19" spans="1:5" x14ac:dyDescent="0.25">
      <c r="A19" s="5" t="s">
        <v>37</v>
      </c>
      <c r="B19" s="5">
        <f>SUM(B14:B18)</f>
        <v>135</v>
      </c>
      <c r="C19" s="11">
        <f t="shared" si="0"/>
        <v>1</v>
      </c>
    </row>
    <row r="21" spans="1:5" x14ac:dyDescent="0.25">
      <c r="A21" s="5" t="s">
        <v>45</v>
      </c>
    </row>
    <row r="22" spans="1:5" x14ac:dyDescent="0.25">
      <c r="A22" s="9"/>
      <c r="B22" s="9" t="s">
        <v>31</v>
      </c>
      <c r="C22" s="9" t="s">
        <v>32</v>
      </c>
    </row>
    <row r="23" spans="1:5" x14ac:dyDescent="0.25">
      <c r="A23" s="7" t="s">
        <v>46</v>
      </c>
      <c r="B23" s="7">
        <f>COUNTIF(IA!C$5:C$139,A23)</f>
        <v>37</v>
      </c>
      <c r="C23" s="10">
        <f t="shared" ref="C23:C29" si="1">IFERROR(B23/$B$29,0)</f>
        <v>0.27407407407407408</v>
      </c>
    </row>
    <row r="24" spans="1:5" x14ac:dyDescent="0.25">
      <c r="A24" s="7" t="s">
        <v>47</v>
      </c>
      <c r="B24" s="7">
        <f>COUNTIF(IA!C$5:C$139,A24)</f>
        <v>7</v>
      </c>
      <c r="C24" s="10">
        <f t="shared" si="1"/>
        <v>5.185185185185185E-2</v>
      </c>
    </row>
    <row r="25" spans="1:5" x14ac:dyDescent="0.25">
      <c r="A25" s="7" t="s">
        <v>48</v>
      </c>
      <c r="B25" s="7">
        <f>COUNTIF(IA!C$5:C$139,A25)</f>
        <v>18</v>
      </c>
      <c r="C25" s="10">
        <f t="shared" si="1"/>
        <v>0.13333333333333333</v>
      </c>
    </row>
    <row r="26" spans="1:5" x14ac:dyDescent="0.25">
      <c r="A26" s="7" t="s">
        <v>49</v>
      </c>
      <c r="B26" s="7">
        <f>COUNTIF(IA!C$5:C$139,A26)</f>
        <v>2</v>
      </c>
      <c r="C26" s="10">
        <f t="shared" si="1"/>
        <v>1.4814814814814815E-2</v>
      </c>
    </row>
    <row r="27" spans="1:5" x14ac:dyDescent="0.25">
      <c r="A27" s="7" t="s">
        <v>43</v>
      </c>
      <c r="B27" s="7">
        <f>COUNTIF(IA!C$5:C$139,A27)</f>
        <v>42</v>
      </c>
      <c r="C27" s="10">
        <f t="shared" si="1"/>
        <v>0.31111111111111112</v>
      </c>
    </row>
    <row r="28" spans="1:5" x14ac:dyDescent="0.25">
      <c r="A28" s="7" t="s">
        <v>50</v>
      </c>
      <c r="B28" s="7">
        <f>COUNTIF(IA!C$5:C$139,A28)</f>
        <v>29</v>
      </c>
      <c r="C28" s="10">
        <f t="shared" si="1"/>
        <v>0.21481481481481482</v>
      </c>
    </row>
    <row r="29" spans="1:5" x14ac:dyDescent="0.25">
      <c r="A29" s="5" t="s">
        <v>37</v>
      </c>
      <c r="B29" s="5">
        <f>SUM(B23:B28)</f>
        <v>135</v>
      </c>
      <c r="C29" s="11">
        <f t="shared" si="1"/>
        <v>1</v>
      </c>
    </row>
    <row r="31" spans="1:5" x14ac:dyDescent="0.25">
      <c r="A31" s="5" t="s">
        <v>51</v>
      </c>
    </row>
    <row r="32" spans="1:5" x14ac:dyDescent="0.25">
      <c r="A32" s="7" t="s">
        <v>52</v>
      </c>
      <c r="B32" s="7">
        <f>COUNTIFS(IA!$E$5:$E$139,"public",IA!$I$5:$I$139,"Built")</f>
        <v>49</v>
      </c>
      <c r="E32" s="8" t="s">
        <v>53</v>
      </c>
    </row>
    <row r="33" spans="1:5" ht="25.5" x14ac:dyDescent="0.25">
      <c r="A33" s="7" t="s">
        <v>54</v>
      </c>
      <c r="B33" s="7">
        <f>COUNTIFS(IA!$E$5:$E$139,"public",IA!$I$5:$I$139,"Scaffold")</f>
        <v>0</v>
      </c>
      <c r="E33" s="8" t="s">
        <v>55</v>
      </c>
    </row>
    <row r="34" spans="1:5" ht="25.5" x14ac:dyDescent="0.25">
      <c r="A34" s="7" t="s">
        <v>56</v>
      </c>
      <c r="B34" s="7">
        <f>COUNTIF(IA!$F$5:$F$139,"yes")</f>
        <v>51</v>
      </c>
      <c r="E34" s="8" t="s">
        <v>57</v>
      </c>
    </row>
    <row r="35" spans="1:5" x14ac:dyDescent="0.25">
      <c r="A35" s="7" t="s">
        <v>58</v>
      </c>
      <c r="B35" s="7">
        <f>COUNTIFS(IA!$L$5:$L$139,"&lt;&gt;",IA!$E$5:$E$139,"office")</f>
        <v>37</v>
      </c>
      <c r="E35" s="8" t="s">
        <v>59</v>
      </c>
    </row>
    <row r="36" spans="1:5" x14ac:dyDescent="0.25">
      <c r="A36" s="7" t="s">
        <v>60</v>
      </c>
      <c r="B36" s="7">
        <f>COUNTIF(IA!$M$5:$M$139,"&lt;&gt;")</f>
        <v>29</v>
      </c>
      <c r="E36" s="8" t="s">
        <v>61</v>
      </c>
    </row>
    <row r="37" spans="1:5" x14ac:dyDescent="0.25">
      <c r="A37" s="7" t="s">
        <v>62</v>
      </c>
      <c r="B37" s="7">
        <f>COUNTIF(IA!$N$5:$N$139,"&lt;&gt;")</f>
        <v>27</v>
      </c>
      <c r="E37" s="8" t="s">
        <v>63</v>
      </c>
    </row>
    <row r="39" spans="1:5" x14ac:dyDescent="0.25">
      <c r="A39" s="5" t="s">
        <v>64</v>
      </c>
    </row>
    <row r="40" spans="1:5" x14ac:dyDescent="0.25">
      <c r="A40" s="7" t="s">
        <v>65</v>
      </c>
      <c r="B40" s="7">
        <f>COUNTIF(Popups!$F$5:$F$40,"Built")</f>
        <v>2</v>
      </c>
    </row>
    <row r="41" spans="1:5" x14ac:dyDescent="0.25">
      <c r="A41" s="7" t="s">
        <v>66</v>
      </c>
      <c r="B41" s="7">
        <f>COUNTIF(Popups!$F$5:$F$40,"N/A")</f>
        <v>1</v>
      </c>
    </row>
    <row r="42" spans="1:5" x14ac:dyDescent="0.25">
      <c r="A42" s="7" t="s">
        <v>67</v>
      </c>
      <c r="B42" s="7">
        <f>COUNTIF(Popups!$F$5:$F$40,"Not built")</f>
        <v>7</v>
      </c>
    </row>
    <row r="43" spans="1:5" x14ac:dyDescent="0.25">
      <c r="A43" s="7" t="s">
        <v>68</v>
      </c>
      <c r="B43" s="7">
        <f>COUNTIF(Notifications!$G$5:$G$60,"Live")</f>
        <v>1</v>
      </c>
    </row>
    <row r="44" spans="1:5" x14ac:dyDescent="0.25">
      <c r="A44" s="7" t="s">
        <v>69</v>
      </c>
      <c r="B44" s="7">
        <f>COUNTIF(Notifications!$G$5:$G$60,"Not built")</f>
        <v>16</v>
      </c>
    </row>
    <row r="45" spans="1:5" x14ac:dyDescent="0.25">
      <c r="A45" s="7" t="s">
        <v>70</v>
      </c>
      <c r="B45" s="7">
        <f>COUNTIF(Emails!$G$5:$G$60,"Live")</f>
        <v>2</v>
      </c>
    </row>
    <row r="46" spans="1:5" x14ac:dyDescent="0.25">
      <c r="A46" s="7" t="s">
        <v>71</v>
      </c>
      <c r="B46" s="7">
        <f>COUNTIF(Emails!$G$5:$G$60,"Not built")</f>
        <v>16</v>
      </c>
    </row>
    <row r="47" spans="1:5" x14ac:dyDescent="0.25">
      <c r="A47" s="7" t="s">
        <v>72</v>
      </c>
      <c r="B47" s="7">
        <f>COUNTIF(Gaps!$G$5:$G$60,"Open")</f>
        <v>27</v>
      </c>
    </row>
    <row r="48" spans="1:5" x14ac:dyDescent="0.25">
      <c r="A48" s="7" t="s">
        <v>73</v>
      </c>
      <c r="B48" s="7">
        <f>COUNTIF(Decisions!$H$5:$H$60,"Open")</f>
        <v>29</v>
      </c>
    </row>
    <row r="49" spans="1:2" x14ac:dyDescent="0.25">
      <c r="A49" s="7" t="s">
        <v>74</v>
      </c>
      <c r="B49" s="7">
        <f>COUNTIF(Assets!$I$5:$I$80,"Not supplied")</f>
        <v>24</v>
      </c>
    </row>
    <row r="50" spans="1:2" x14ac:dyDescent="0.25">
      <c r="A50" s="7" t="s">
        <v>75</v>
      </c>
      <c r="B50" s="7">
        <f>COUNTIF(Domain!$D$5:$D$120,"object")+COUNTIF(Domain!$D$5:$D$120,"field")+COUNTIF(Domain!$D$5:$D$120,"derived")+COUNTIF(Domain!$D$5:$D$120,"code")+COUNTIF(Domain!$D$5:$D$120,"registered")+COUNTIF(Domain!$D$5:$D$120,"outOfScope")</f>
        <v>76</v>
      </c>
    </row>
    <row r="51" spans="1:2" x14ac:dyDescent="0.25">
      <c r="A51" s="7" t="s">
        <v>76</v>
      </c>
      <c r="B51" s="7">
        <f>COUNTIF(Domain!$D$5:$D$120,"object")+COUNTIF(Domain!$D$5:$D$120,"field")</f>
        <v>25</v>
      </c>
    </row>
    <row r="52" spans="1:2" x14ac:dyDescent="0.25">
      <c r="A52" s="7" t="s">
        <v>77</v>
      </c>
      <c r="B52" s="7">
        <f>COUNTIF(Domain!$D$5:$D$120,"derived")+COUNTIF(Domain!$D$5:$D$120,"code")</f>
        <v>10</v>
      </c>
    </row>
    <row r="53" spans="1:2" x14ac:dyDescent="0.25">
      <c r="A53" s="7" t="s">
        <v>78</v>
      </c>
      <c r="B53" s="7">
        <f>COUNTIF(Domain!$D$5:$D$120,"registered")</f>
        <v>38</v>
      </c>
    </row>
    <row r="54" spans="1:2" x14ac:dyDescent="0.25">
      <c r="A54" s="7" t="s">
        <v>79</v>
      </c>
      <c r="B54" s="7">
        <f>COUNTIF(Domain!$D$5:$D$120,"outOfScope")</f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061DE"/>
  </sheetPr>
  <dimension ref="A1:O139"/>
  <sheetViews>
    <sheetView workbookViewId="0"/>
  </sheetViews>
  <sheetFormatPr defaultColWidth="8.7109375" defaultRowHeight="15" x14ac:dyDescent="0.25"/>
  <cols>
    <col min="1" max="1" width="34" customWidth="1"/>
    <col min="2" max="2" width="26" customWidth="1"/>
    <col min="3" max="4" width="10" customWidth="1"/>
    <col min="5" max="5" width="11" customWidth="1"/>
    <col min="6" max="6" width="10" customWidth="1"/>
    <col min="7" max="7" width="9" customWidth="1"/>
    <col min="8" max="8" width="26" customWidth="1"/>
    <col min="9" max="9" width="11" customWidth="1"/>
    <col min="10" max="10" width="20" customWidth="1"/>
    <col min="11" max="11" width="14" customWidth="1"/>
    <col min="12" max="12" width="20" customWidth="1"/>
    <col min="13" max="13" width="12" customWidth="1"/>
    <col min="14" max="14" width="46" customWidth="1"/>
    <col min="15" max="15" width="62" customWidth="1"/>
  </cols>
  <sheetData>
    <row r="1" spans="1:15" ht="20.25" x14ac:dyDescent="0.3">
      <c r="A1" s="3" t="s">
        <v>80</v>
      </c>
    </row>
    <row r="2" spans="1:15" ht="30" customHeight="1" x14ac:dyDescent="0.25">
      <c r="A2" s="2" t="s">
        <v>81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spans="1:15" ht="27.75" customHeight="1" x14ac:dyDescent="0.25">
      <c r="A4" s="12" t="s">
        <v>82</v>
      </c>
      <c r="B4" s="12" t="s">
        <v>83</v>
      </c>
      <c r="C4" s="12" t="s">
        <v>84</v>
      </c>
      <c r="D4" s="12" t="s">
        <v>85</v>
      </c>
      <c r="E4" s="12" t="s">
        <v>86</v>
      </c>
      <c r="F4" s="12" t="s">
        <v>56</v>
      </c>
      <c r="G4" s="12" t="s">
        <v>87</v>
      </c>
      <c r="H4" s="12" t="s">
        <v>88</v>
      </c>
      <c r="I4" s="12" t="s">
        <v>89</v>
      </c>
      <c r="J4" s="12" t="s">
        <v>90</v>
      </c>
      <c r="K4" s="12" t="s">
        <v>91</v>
      </c>
      <c r="L4" s="12" t="s">
        <v>92</v>
      </c>
      <c r="M4" s="12" t="s">
        <v>93</v>
      </c>
      <c r="N4" s="12" t="s">
        <v>94</v>
      </c>
      <c r="O4" s="12" t="s">
        <v>95</v>
      </c>
    </row>
    <row r="5" spans="1:15" x14ac:dyDescent="0.25">
      <c r="A5" s="13" t="s">
        <v>96</v>
      </c>
      <c r="B5" s="14" t="s">
        <v>97</v>
      </c>
      <c r="C5" s="14" t="s">
        <v>46</v>
      </c>
      <c r="D5" s="14" t="s">
        <v>46</v>
      </c>
      <c r="E5" s="14" t="s">
        <v>40</v>
      </c>
      <c r="F5" s="14" t="s">
        <v>98</v>
      </c>
      <c r="G5" s="14" t="s">
        <v>99</v>
      </c>
      <c r="H5" s="14" t="s">
        <v>100</v>
      </c>
      <c r="I5" s="15" t="s">
        <v>33</v>
      </c>
      <c r="J5" s="14" t="s">
        <v>101</v>
      </c>
      <c r="K5" s="14" t="s">
        <v>102</v>
      </c>
      <c r="L5" s="14"/>
      <c r="M5" s="14"/>
      <c r="N5" s="16"/>
      <c r="O5" s="16" t="s">
        <v>103</v>
      </c>
    </row>
    <row r="6" spans="1:15" ht="25.5" x14ac:dyDescent="0.25">
      <c r="A6" s="17" t="s">
        <v>104</v>
      </c>
      <c r="B6" s="18" t="s">
        <v>105</v>
      </c>
      <c r="C6" s="18" t="s">
        <v>46</v>
      </c>
      <c r="D6" s="18" t="s">
        <v>46</v>
      </c>
      <c r="E6" s="18" t="s">
        <v>40</v>
      </c>
      <c r="F6" s="18" t="s">
        <v>98</v>
      </c>
      <c r="G6" s="18" t="s">
        <v>106</v>
      </c>
      <c r="H6" s="18" t="s">
        <v>107</v>
      </c>
      <c r="I6" s="19" t="s">
        <v>33</v>
      </c>
      <c r="J6" s="18" t="s">
        <v>108</v>
      </c>
      <c r="K6" s="18" t="s">
        <v>109</v>
      </c>
      <c r="L6" s="18"/>
      <c r="M6" s="18"/>
      <c r="N6" s="20"/>
      <c r="O6" s="20" t="s">
        <v>110</v>
      </c>
    </row>
    <row r="7" spans="1:15" ht="38.25" x14ac:dyDescent="0.25">
      <c r="A7" s="13" t="s">
        <v>111</v>
      </c>
      <c r="B7" s="14" t="s">
        <v>112</v>
      </c>
      <c r="C7" s="14" t="s">
        <v>46</v>
      </c>
      <c r="D7" s="14" t="s">
        <v>46</v>
      </c>
      <c r="E7" s="14" t="s">
        <v>40</v>
      </c>
      <c r="F7" s="14" t="s">
        <v>98</v>
      </c>
      <c r="G7" s="14" t="s">
        <v>106</v>
      </c>
      <c r="H7" s="14" t="s">
        <v>107</v>
      </c>
      <c r="I7" s="14" t="s">
        <v>35</v>
      </c>
      <c r="J7" s="14"/>
      <c r="K7" s="14"/>
      <c r="L7" s="14"/>
      <c r="M7" s="14"/>
      <c r="N7" s="16"/>
      <c r="O7" s="16" t="s">
        <v>113</v>
      </c>
    </row>
    <row r="8" spans="1:15" ht="25.5" x14ac:dyDescent="0.25">
      <c r="A8" s="17" t="s">
        <v>114</v>
      </c>
      <c r="B8" s="18" t="s">
        <v>115</v>
      </c>
      <c r="C8" s="18" t="s">
        <v>46</v>
      </c>
      <c r="D8" s="18" t="s">
        <v>46</v>
      </c>
      <c r="E8" s="18" t="s">
        <v>40</v>
      </c>
      <c r="F8" s="18" t="s">
        <v>98</v>
      </c>
      <c r="G8" s="18" t="s">
        <v>106</v>
      </c>
      <c r="H8" s="18" t="s">
        <v>107</v>
      </c>
      <c r="I8" s="18" t="s">
        <v>35</v>
      </c>
      <c r="J8" s="18"/>
      <c r="K8" s="18"/>
      <c r="L8" s="18"/>
      <c r="M8" s="18"/>
      <c r="N8" s="20"/>
      <c r="O8" s="20" t="s">
        <v>116</v>
      </c>
    </row>
    <row r="9" spans="1:15" x14ac:dyDescent="0.25">
      <c r="A9" s="13" t="s">
        <v>117</v>
      </c>
      <c r="B9" s="14" t="s">
        <v>118</v>
      </c>
      <c r="C9" s="14" t="s">
        <v>46</v>
      </c>
      <c r="D9" s="14" t="s">
        <v>46</v>
      </c>
      <c r="E9" s="14" t="s">
        <v>40</v>
      </c>
      <c r="F9" s="14" t="s">
        <v>98</v>
      </c>
      <c r="G9" s="14" t="s">
        <v>119</v>
      </c>
      <c r="H9" s="14" t="s">
        <v>120</v>
      </c>
      <c r="I9" s="15" t="s">
        <v>33</v>
      </c>
      <c r="J9" s="14" t="s">
        <v>118</v>
      </c>
      <c r="K9" s="14" t="s">
        <v>121</v>
      </c>
      <c r="L9" s="14"/>
      <c r="M9" s="14"/>
      <c r="N9" s="16"/>
      <c r="O9" s="16"/>
    </row>
    <row r="10" spans="1:15" x14ac:dyDescent="0.25">
      <c r="A10" s="17" t="s">
        <v>122</v>
      </c>
      <c r="B10" s="18" t="s">
        <v>123</v>
      </c>
      <c r="C10" s="18" t="s">
        <v>46</v>
      </c>
      <c r="D10" s="18" t="s">
        <v>46</v>
      </c>
      <c r="E10" s="18" t="s">
        <v>40</v>
      </c>
      <c r="F10" s="18" t="s">
        <v>98</v>
      </c>
      <c r="G10" s="18" t="s">
        <v>99</v>
      </c>
      <c r="H10" s="18" t="s">
        <v>100</v>
      </c>
      <c r="I10" s="19" t="s">
        <v>33</v>
      </c>
      <c r="J10" s="18" t="s">
        <v>123</v>
      </c>
      <c r="K10" s="18" t="s">
        <v>102</v>
      </c>
      <c r="L10" s="18"/>
      <c r="M10" s="18"/>
      <c r="N10" s="20"/>
      <c r="O10" s="20" t="s">
        <v>124</v>
      </c>
    </row>
    <row r="11" spans="1:15" x14ac:dyDescent="0.25">
      <c r="A11" s="13" t="s">
        <v>125</v>
      </c>
      <c r="B11" s="14" t="s">
        <v>126</v>
      </c>
      <c r="C11" s="14" t="s">
        <v>46</v>
      </c>
      <c r="D11" s="14" t="s">
        <v>46</v>
      </c>
      <c r="E11" s="14" t="s">
        <v>40</v>
      </c>
      <c r="F11" s="14" t="s">
        <v>98</v>
      </c>
      <c r="G11" s="14"/>
      <c r="H11" s="14"/>
      <c r="I11" s="15" t="s">
        <v>33</v>
      </c>
      <c r="J11" s="14" t="s">
        <v>108</v>
      </c>
      <c r="K11" s="14" t="s">
        <v>109</v>
      </c>
      <c r="L11" s="14"/>
      <c r="M11" s="14"/>
      <c r="N11" s="16"/>
      <c r="O11" s="16"/>
    </row>
    <row r="12" spans="1:15" ht="63.75" x14ac:dyDescent="0.25">
      <c r="A12" s="17" t="s">
        <v>127</v>
      </c>
      <c r="B12" s="18" t="s">
        <v>128</v>
      </c>
      <c r="C12" s="18" t="s">
        <v>46</v>
      </c>
      <c r="D12" s="18" t="s">
        <v>46</v>
      </c>
      <c r="E12" s="18" t="s">
        <v>40</v>
      </c>
      <c r="F12" s="18" t="s">
        <v>98</v>
      </c>
      <c r="G12" s="18"/>
      <c r="H12" s="18"/>
      <c r="I12" s="19" t="s">
        <v>33</v>
      </c>
      <c r="J12" s="18" t="s">
        <v>108</v>
      </c>
      <c r="K12" s="18" t="s">
        <v>109</v>
      </c>
      <c r="L12" s="18"/>
      <c r="M12" s="18"/>
      <c r="N12" s="20"/>
      <c r="O12" s="20" t="s">
        <v>129</v>
      </c>
    </row>
    <row r="13" spans="1:15" x14ac:dyDescent="0.25">
      <c r="A13" s="13" t="s">
        <v>130</v>
      </c>
      <c r="B13" s="14" t="s">
        <v>131</v>
      </c>
      <c r="C13" s="14" t="s">
        <v>46</v>
      </c>
      <c r="D13" s="14" t="s">
        <v>46</v>
      </c>
      <c r="E13" s="14" t="s">
        <v>40</v>
      </c>
      <c r="F13" s="14" t="s">
        <v>98</v>
      </c>
      <c r="G13" s="14" t="s">
        <v>132</v>
      </c>
      <c r="H13" s="14" t="s">
        <v>133</v>
      </c>
      <c r="I13" s="15" t="s">
        <v>33</v>
      </c>
      <c r="J13" s="14" t="s">
        <v>134</v>
      </c>
      <c r="K13" s="14" t="s">
        <v>46</v>
      </c>
      <c r="L13" s="14"/>
      <c r="M13" s="14"/>
      <c r="N13" s="16"/>
      <c r="O13" s="16"/>
    </row>
    <row r="14" spans="1:15" ht="51" x14ac:dyDescent="0.25">
      <c r="A14" s="17" t="s">
        <v>135</v>
      </c>
      <c r="B14" s="18" t="s">
        <v>136</v>
      </c>
      <c r="C14" s="18" t="s">
        <v>46</v>
      </c>
      <c r="D14" s="18" t="s">
        <v>46</v>
      </c>
      <c r="E14" s="18" t="s">
        <v>40</v>
      </c>
      <c r="F14" s="18" t="s">
        <v>98</v>
      </c>
      <c r="G14" s="18" t="s">
        <v>99</v>
      </c>
      <c r="H14" s="18" t="s">
        <v>100</v>
      </c>
      <c r="I14" s="19" t="s">
        <v>33</v>
      </c>
      <c r="J14" s="18" t="s">
        <v>137</v>
      </c>
      <c r="K14" s="18" t="s">
        <v>102</v>
      </c>
      <c r="L14" s="18"/>
      <c r="M14" s="18"/>
      <c r="N14" s="20"/>
      <c r="O14" s="20" t="s">
        <v>138</v>
      </c>
    </row>
    <row r="15" spans="1:15" ht="25.5" x14ac:dyDescent="0.25">
      <c r="A15" s="13" t="s">
        <v>139</v>
      </c>
      <c r="B15" s="14" t="s">
        <v>140</v>
      </c>
      <c r="C15" s="14" t="s">
        <v>46</v>
      </c>
      <c r="D15" s="14" t="s">
        <v>46</v>
      </c>
      <c r="E15" s="14" t="s">
        <v>40</v>
      </c>
      <c r="F15" s="14" t="s">
        <v>98</v>
      </c>
      <c r="G15" s="14" t="s">
        <v>99</v>
      </c>
      <c r="H15" s="14" t="s">
        <v>100</v>
      </c>
      <c r="I15" s="15" t="s">
        <v>33</v>
      </c>
      <c r="J15" s="14" t="s">
        <v>141</v>
      </c>
      <c r="K15" s="14" t="s">
        <v>102</v>
      </c>
      <c r="L15" s="14"/>
      <c r="M15" s="14"/>
      <c r="N15" s="16"/>
      <c r="O15" s="16" t="s">
        <v>142</v>
      </c>
    </row>
    <row r="16" spans="1:15" ht="38.25" x14ac:dyDescent="0.25">
      <c r="A16" s="17" t="s">
        <v>143</v>
      </c>
      <c r="B16" s="18" t="s">
        <v>144</v>
      </c>
      <c r="C16" s="18" t="s">
        <v>46</v>
      </c>
      <c r="D16" s="18" t="s">
        <v>46</v>
      </c>
      <c r="E16" s="18" t="s">
        <v>40</v>
      </c>
      <c r="F16" s="18" t="s">
        <v>98</v>
      </c>
      <c r="G16" s="18" t="s">
        <v>99</v>
      </c>
      <c r="H16" s="18" t="s">
        <v>100</v>
      </c>
      <c r="I16" s="19" t="s">
        <v>33</v>
      </c>
      <c r="J16" s="18" t="s">
        <v>145</v>
      </c>
      <c r="K16" s="18" t="s">
        <v>102</v>
      </c>
      <c r="L16" s="18"/>
      <c r="M16" s="18"/>
      <c r="N16" s="20"/>
      <c r="O16" s="20" t="s">
        <v>146</v>
      </c>
    </row>
    <row r="17" spans="1:15" ht="38.25" x14ac:dyDescent="0.25">
      <c r="A17" s="13" t="s">
        <v>147</v>
      </c>
      <c r="B17" s="14" t="s">
        <v>148</v>
      </c>
      <c r="C17" s="14" t="s">
        <v>46</v>
      </c>
      <c r="D17" s="14" t="s">
        <v>46</v>
      </c>
      <c r="E17" s="14" t="s">
        <v>40</v>
      </c>
      <c r="F17" s="14" t="s">
        <v>98</v>
      </c>
      <c r="G17" s="14" t="s">
        <v>99</v>
      </c>
      <c r="H17" s="14" t="s">
        <v>100</v>
      </c>
      <c r="I17" s="15" t="s">
        <v>33</v>
      </c>
      <c r="J17" s="14" t="s">
        <v>149</v>
      </c>
      <c r="K17" s="14" t="s">
        <v>102</v>
      </c>
      <c r="L17" s="14"/>
      <c r="M17" s="14"/>
      <c r="N17" s="16"/>
      <c r="O17" s="16" t="s">
        <v>150</v>
      </c>
    </row>
    <row r="18" spans="1:15" ht="25.5" x14ac:dyDescent="0.25">
      <c r="A18" s="17" t="s">
        <v>151</v>
      </c>
      <c r="B18" s="18" t="s">
        <v>152</v>
      </c>
      <c r="C18" s="18" t="s">
        <v>46</v>
      </c>
      <c r="D18" s="18" t="s">
        <v>46</v>
      </c>
      <c r="E18" s="18" t="s">
        <v>40</v>
      </c>
      <c r="F18" s="18" t="s">
        <v>98</v>
      </c>
      <c r="G18" s="18" t="s">
        <v>99</v>
      </c>
      <c r="H18" s="18" t="s">
        <v>100</v>
      </c>
      <c r="I18" s="19" t="s">
        <v>33</v>
      </c>
      <c r="J18" s="18" t="s">
        <v>153</v>
      </c>
      <c r="K18" s="18" t="s">
        <v>102</v>
      </c>
      <c r="L18" s="18"/>
      <c r="M18" s="18"/>
      <c r="N18" s="20"/>
      <c r="O18" s="20" t="s">
        <v>154</v>
      </c>
    </row>
    <row r="19" spans="1:15" x14ac:dyDescent="0.25">
      <c r="A19" s="13" t="s">
        <v>155</v>
      </c>
      <c r="B19" s="14" t="s">
        <v>156</v>
      </c>
      <c r="C19" s="14" t="s">
        <v>46</v>
      </c>
      <c r="D19" s="14" t="s">
        <v>46</v>
      </c>
      <c r="E19" s="14" t="s">
        <v>40</v>
      </c>
      <c r="F19" s="14" t="s">
        <v>98</v>
      </c>
      <c r="G19" s="14" t="s">
        <v>157</v>
      </c>
      <c r="H19" s="14" t="s">
        <v>158</v>
      </c>
      <c r="I19" s="15" t="s">
        <v>33</v>
      </c>
      <c r="J19" s="14" t="s">
        <v>156</v>
      </c>
      <c r="K19" s="14" t="s">
        <v>121</v>
      </c>
      <c r="L19" s="14"/>
      <c r="M19" s="14"/>
      <c r="N19" s="16"/>
      <c r="O19" s="16"/>
    </row>
    <row r="20" spans="1:15" ht="38.25" x14ac:dyDescent="0.25">
      <c r="A20" s="17" t="s">
        <v>159</v>
      </c>
      <c r="B20" s="18" t="s">
        <v>160</v>
      </c>
      <c r="C20" s="18" t="s">
        <v>46</v>
      </c>
      <c r="D20" s="18" t="s">
        <v>46</v>
      </c>
      <c r="E20" s="18" t="s">
        <v>40</v>
      </c>
      <c r="F20" s="18" t="s">
        <v>98</v>
      </c>
      <c r="G20" s="18" t="s">
        <v>99</v>
      </c>
      <c r="H20" s="18" t="s">
        <v>100</v>
      </c>
      <c r="I20" s="19" t="s">
        <v>33</v>
      </c>
      <c r="J20" s="18" t="s">
        <v>161</v>
      </c>
      <c r="K20" s="18" t="s">
        <v>102</v>
      </c>
      <c r="L20" s="18"/>
      <c r="M20" s="18"/>
      <c r="N20" s="20"/>
      <c r="O20" s="20" t="s">
        <v>162</v>
      </c>
    </row>
    <row r="21" spans="1:15" x14ac:dyDescent="0.25">
      <c r="A21" s="13" t="s">
        <v>163</v>
      </c>
      <c r="B21" s="14" t="s">
        <v>164</v>
      </c>
      <c r="C21" s="14" t="s">
        <v>46</v>
      </c>
      <c r="D21" s="14" t="s">
        <v>46</v>
      </c>
      <c r="E21" s="14" t="s">
        <v>40</v>
      </c>
      <c r="F21" s="14" t="s">
        <v>98</v>
      </c>
      <c r="G21" s="14" t="s">
        <v>165</v>
      </c>
      <c r="H21" s="14" t="s">
        <v>164</v>
      </c>
      <c r="I21" s="15" t="s">
        <v>33</v>
      </c>
      <c r="J21" s="14" t="s">
        <v>166</v>
      </c>
      <c r="K21" s="14" t="s">
        <v>167</v>
      </c>
      <c r="L21" s="14"/>
      <c r="M21" s="14"/>
      <c r="N21" s="16"/>
      <c r="O21" s="16" t="s">
        <v>168</v>
      </c>
    </row>
    <row r="22" spans="1:15" ht="25.5" x14ac:dyDescent="0.25">
      <c r="A22" s="17" t="s">
        <v>169</v>
      </c>
      <c r="B22" s="18" t="s">
        <v>170</v>
      </c>
      <c r="C22" s="18" t="s">
        <v>46</v>
      </c>
      <c r="D22" s="18" t="s">
        <v>46</v>
      </c>
      <c r="E22" s="18" t="s">
        <v>40</v>
      </c>
      <c r="F22" s="18" t="s">
        <v>98</v>
      </c>
      <c r="G22" s="18" t="s">
        <v>165</v>
      </c>
      <c r="H22" s="18" t="s">
        <v>164</v>
      </c>
      <c r="I22" s="19" t="s">
        <v>33</v>
      </c>
      <c r="J22" s="18" t="s">
        <v>171</v>
      </c>
      <c r="K22" s="18" t="s">
        <v>167</v>
      </c>
      <c r="L22" s="18"/>
      <c r="M22" s="18" t="s">
        <v>172</v>
      </c>
      <c r="N22" s="20"/>
      <c r="O22" s="20" t="s">
        <v>173</v>
      </c>
    </row>
    <row r="23" spans="1:15" x14ac:dyDescent="0.25">
      <c r="A23" s="13" t="s">
        <v>174</v>
      </c>
      <c r="B23" s="14" t="s">
        <v>175</v>
      </c>
      <c r="C23" s="14" t="s">
        <v>46</v>
      </c>
      <c r="D23" s="14" t="s">
        <v>46</v>
      </c>
      <c r="E23" s="14" t="s">
        <v>40</v>
      </c>
      <c r="F23" s="14" t="s">
        <v>98</v>
      </c>
      <c r="G23" s="14" t="s">
        <v>176</v>
      </c>
      <c r="H23" s="14" t="s">
        <v>177</v>
      </c>
      <c r="I23" s="15" t="s">
        <v>33</v>
      </c>
      <c r="J23" s="14" t="s">
        <v>178</v>
      </c>
      <c r="K23" s="14" t="s">
        <v>167</v>
      </c>
      <c r="L23" s="14"/>
      <c r="M23" s="14"/>
      <c r="N23" s="16"/>
      <c r="O23" s="16" t="s">
        <v>179</v>
      </c>
    </row>
    <row r="24" spans="1:15" ht="25.5" x14ac:dyDescent="0.25">
      <c r="A24" s="17" t="s">
        <v>180</v>
      </c>
      <c r="B24" s="18" t="s">
        <v>181</v>
      </c>
      <c r="C24" s="18" t="s">
        <v>46</v>
      </c>
      <c r="D24" s="18" t="s">
        <v>46</v>
      </c>
      <c r="E24" s="18" t="s">
        <v>40</v>
      </c>
      <c r="F24" s="18" t="s">
        <v>98</v>
      </c>
      <c r="G24" s="18" t="s">
        <v>176</v>
      </c>
      <c r="H24" s="18" t="s">
        <v>177</v>
      </c>
      <c r="I24" s="19" t="s">
        <v>33</v>
      </c>
      <c r="J24" s="18" t="s">
        <v>182</v>
      </c>
      <c r="K24" s="18" t="s">
        <v>167</v>
      </c>
      <c r="L24" s="18"/>
      <c r="M24" s="18"/>
      <c r="N24" s="20"/>
      <c r="O24" s="20" t="s">
        <v>183</v>
      </c>
    </row>
    <row r="25" spans="1:15" x14ac:dyDescent="0.25">
      <c r="A25" s="13" t="s">
        <v>184</v>
      </c>
      <c r="B25" s="14" t="s">
        <v>185</v>
      </c>
      <c r="C25" s="14" t="s">
        <v>46</v>
      </c>
      <c r="D25" s="14" t="s">
        <v>46</v>
      </c>
      <c r="E25" s="14" t="s">
        <v>40</v>
      </c>
      <c r="F25" s="14" t="s">
        <v>98</v>
      </c>
      <c r="G25" s="14" t="s">
        <v>176</v>
      </c>
      <c r="H25" s="14" t="s">
        <v>177</v>
      </c>
      <c r="I25" s="15" t="s">
        <v>33</v>
      </c>
      <c r="J25" s="14" t="s">
        <v>182</v>
      </c>
      <c r="K25" s="14" t="s">
        <v>167</v>
      </c>
      <c r="L25" s="14"/>
      <c r="M25" s="14"/>
      <c r="N25" s="16"/>
      <c r="O25" s="16"/>
    </row>
    <row r="26" spans="1:15" x14ac:dyDescent="0.25">
      <c r="A26" s="17" t="s">
        <v>186</v>
      </c>
      <c r="B26" s="18" t="s">
        <v>187</v>
      </c>
      <c r="C26" s="18" t="s">
        <v>46</v>
      </c>
      <c r="D26" s="18" t="s">
        <v>46</v>
      </c>
      <c r="E26" s="18" t="s">
        <v>40</v>
      </c>
      <c r="F26" s="18" t="s">
        <v>98</v>
      </c>
      <c r="G26" s="18" t="s">
        <v>176</v>
      </c>
      <c r="H26" s="18" t="s">
        <v>177</v>
      </c>
      <c r="I26" s="19" t="s">
        <v>33</v>
      </c>
      <c r="J26" s="18" t="s">
        <v>182</v>
      </c>
      <c r="K26" s="18" t="s">
        <v>167</v>
      </c>
      <c r="L26" s="18"/>
      <c r="M26" s="18"/>
      <c r="N26" s="20"/>
      <c r="O26" s="20"/>
    </row>
    <row r="27" spans="1:15" x14ac:dyDescent="0.25">
      <c r="A27" s="13" t="s">
        <v>188</v>
      </c>
      <c r="B27" s="14" t="s">
        <v>189</v>
      </c>
      <c r="C27" s="14" t="s">
        <v>46</v>
      </c>
      <c r="D27" s="14" t="s">
        <v>46</v>
      </c>
      <c r="E27" s="14" t="s">
        <v>40</v>
      </c>
      <c r="F27" s="14" t="s">
        <v>98</v>
      </c>
      <c r="G27" s="14" t="s">
        <v>176</v>
      </c>
      <c r="H27" s="14" t="s">
        <v>177</v>
      </c>
      <c r="I27" s="15" t="s">
        <v>33</v>
      </c>
      <c r="J27" s="14" t="s">
        <v>182</v>
      </c>
      <c r="K27" s="14" t="s">
        <v>167</v>
      </c>
      <c r="L27" s="14"/>
      <c r="M27" s="14"/>
      <c r="N27" s="16"/>
      <c r="O27" s="16" t="s">
        <v>190</v>
      </c>
    </row>
    <row r="28" spans="1:15" x14ac:dyDescent="0.25">
      <c r="A28" s="17" t="s">
        <v>191</v>
      </c>
      <c r="B28" s="18" t="s">
        <v>192</v>
      </c>
      <c r="C28" s="18" t="s">
        <v>46</v>
      </c>
      <c r="D28" s="18" t="s">
        <v>46</v>
      </c>
      <c r="E28" s="18" t="s">
        <v>40</v>
      </c>
      <c r="F28" s="18" t="s">
        <v>98</v>
      </c>
      <c r="G28" s="18" t="s">
        <v>176</v>
      </c>
      <c r="H28" s="18" t="s">
        <v>177</v>
      </c>
      <c r="I28" s="19" t="s">
        <v>33</v>
      </c>
      <c r="J28" s="18" t="s">
        <v>182</v>
      </c>
      <c r="K28" s="18" t="s">
        <v>167</v>
      </c>
      <c r="L28" s="18"/>
      <c r="M28" s="18"/>
      <c r="N28" s="20"/>
      <c r="O28" s="20"/>
    </row>
    <row r="29" spans="1:15" x14ac:dyDescent="0.25">
      <c r="A29" s="13" t="s">
        <v>193</v>
      </c>
      <c r="B29" s="14" t="s">
        <v>194</v>
      </c>
      <c r="C29" s="14" t="s">
        <v>46</v>
      </c>
      <c r="D29" s="14" t="s">
        <v>46</v>
      </c>
      <c r="E29" s="14" t="s">
        <v>40</v>
      </c>
      <c r="F29" s="14" t="s">
        <v>98</v>
      </c>
      <c r="G29" s="14" t="s">
        <v>176</v>
      </c>
      <c r="H29" s="14" t="s">
        <v>177</v>
      </c>
      <c r="I29" s="15" t="s">
        <v>33</v>
      </c>
      <c r="J29" s="14" t="s">
        <v>182</v>
      </c>
      <c r="K29" s="14" t="s">
        <v>167</v>
      </c>
      <c r="L29" s="14"/>
      <c r="M29" s="14"/>
      <c r="N29" s="16"/>
      <c r="O29" s="16"/>
    </row>
    <row r="30" spans="1:15" x14ac:dyDescent="0.25">
      <c r="A30" s="17" t="s">
        <v>195</v>
      </c>
      <c r="B30" s="18" t="s">
        <v>196</v>
      </c>
      <c r="C30" s="18" t="s">
        <v>46</v>
      </c>
      <c r="D30" s="18" t="s">
        <v>46</v>
      </c>
      <c r="E30" s="18" t="s">
        <v>40</v>
      </c>
      <c r="F30" s="18" t="s">
        <v>98</v>
      </c>
      <c r="G30" s="18" t="s">
        <v>197</v>
      </c>
      <c r="H30" s="18" t="s">
        <v>198</v>
      </c>
      <c r="I30" s="19" t="s">
        <v>33</v>
      </c>
      <c r="J30" s="18" t="s">
        <v>108</v>
      </c>
      <c r="K30" s="18" t="s">
        <v>109</v>
      </c>
      <c r="L30" s="18"/>
      <c r="M30" s="18"/>
      <c r="N30" s="20"/>
      <c r="O30" s="20"/>
    </row>
    <row r="31" spans="1:15" x14ac:dyDescent="0.25">
      <c r="A31" s="13" t="s">
        <v>199</v>
      </c>
      <c r="B31" s="14" t="s">
        <v>200</v>
      </c>
      <c r="C31" s="14" t="s">
        <v>46</v>
      </c>
      <c r="D31" s="14" t="s">
        <v>46</v>
      </c>
      <c r="E31" s="14" t="s">
        <v>40</v>
      </c>
      <c r="F31" s="14" t="s">
        <v>98</v>
      </c>
      <c r="G31" s="14" t="s">
        <v>201</v>
      </c>
      <c r="H31" s="14" t="s">
        <v>202</v>
      </c>
      <c r="I31" s="15" t="s">
        <v>33</v>
      </c>
      <c r="J31" s="14" t="s">
        <v>203</v>
      </c>
      <c r="K31" s="14" t="s">
        <v>121</v>
      </c>
      <c r="L31" s="14"/>
      <c r="M31" s="14"/>
      <c r="N31" s="16"/>
      <c r="O31" s="16"/>
    </row>
    <row r="32" spans="1:15" x14ac:dyDescent="0.25">
      <c r="A32" s="17" t="s">
        <v>204</v>
      </c>
      <c r="B32" s="18" t="s">
        <v>205</v>
      </c>
      <c r="C32" s="18" t="s">
        <v>46</v>
      </c>
      <c r="D32" s="18" t="s">
        <v>46</v>
      </c>
      <c r="E32" s="18" t="s">
        <v>40</v>
      </c>
      <c r="F32" s="18" t="s">
        <v>98</v>
      </c>
      <c r="G32" s="18" t="s">
        <v>206</v>
      </c>
      <c r="H32" s="18" t="s">
        <v>207</v>
      </c>
      <c r="I32" s="19" t="s">
        <v>33</v>
      </c>
      <c r="J32" s="18" t="s">
        <v>208</v>
      </c>
      <c r="K32" s="18" t="s">
        <v>121</v>
      </c>
      <c r="L32" s="18"/>
      <c r="M32" s="18"/>
      <c r="N32" s="20"/>
      <c r="O32" s="20"/>
    </row>
    <row r="33" spans="1:15" x14ac:dyDescent="0.25">
      <c r="A33" s="13" t="s">
        <v>209</v>
      </c>
      <c r="B33" s="14" t="s">
        <v>210</v>
      </c>
      <c r="C33" s="14" t="s">
        <v>46</v>
      </c>
      <c r="D33" s="14" t="s">
        <v>46</v>
      </c>
      <c r="E33" s="14" t="s">
        <v>40</v>
      </c>
      <c r="F33" s="14" t="s">
        <v>98</v>
      </c>
      <c r="G33" s="14" t="s">
        <v>206</v>
      </c>
      <c r="H33" s="14" t="s">
        <v>207</v>
      </c>
      <c r="I33" s="15" t="s">
        <v>33</v>
      </c>
      <c r="J33" s="14" t="s">
        <v>211</v>
      </c>
      <c r="K33" s="14" t="s">
        <v>121</v>
      </c>
      <c r="L33" s="14"/>
      <c r="M33" s="14" t="s">
        <v>212</v>
      </c>
      <c r="N33" s="16"/>
      <c r="O33" s="16"/>
    </row>
    <row r="34" spans="1:15" ht="38.25" x14ac:dyDescent="0.25">
      <c r="A34" s="17" t="s">
        <v>213</v>
      </c>
      <c r="B34" s="18" t="s">
        <v>214</v>
      </c>
      <c r="C34" s="18" t="s">
        <v>46</v>
      </c>
      <c r="D34" s="18" t="s">
        <v>46</v>
      </c>
      <c r="E34" s="18" t="s">
        <v>41</v>
      </c>
      <c r="F34" s="18" t="s">
        <v>215</v>
      </c>
      <c r="G34" s="18"/>
      <c r="H34" s="18"/>
      <c r="I34" s="19" t="s">
        <v>33</v>
      </c>
      <c r="J34" s="18" t="s">
        <v>108</v>
      </c>
      <c r="K34" s="18" t="s">
        <v>109</v>
      </c>
      <c r="L34" s="18"/>
      <c r="M34" s="18"/>
      <c r="N34" s="20" t="s">
        <v>216</v>
      </c>
      <c r="O34" s="20"/>
    </row>
    <row r="35" spans="1:15" ht="25.5" x14ac:dyDescent="0.25">
      <c r="A35" s="13" t="s">
        <v>217</v>
      </c>
      <c r="B35" s="14" t="s">
        <v>218</v>
      </c>
      <c r="C35" s="14" t="s">
        <v>46</v>
      </c>
      <c r="D35" s="14" t="s">
        <v>46</v>
      </c>
      <c r="E35" s="14" t="s">
        <v>40</v>
      </c>
      <c r="F35" s="14" t="s">
        <v>98</v>
      </c>
      <c r="G35" s="14" t="s">
        <v>99</v>
      </c>
      <c r="H35" s="14" t="s">
        <v>100</v>
      </c>
      <c r="I35" s="15" t="s">
        <v>33</v>
      </c>
      <c r="J35" s="14" t="s">
        <v>219</v>
      </c>
      <c r="K35" s="14" t="s">
        <v>102</v>
      </c>
      <c r="L35" s="14"/>
      <c r="M35" s="14"/>
      <c r="N35" s="16"/>
      <c r="O35" s="16" t="s">
        <v>220</v>
      </c>
    </row>
    <row r="36" spans="1:15" ht="25.5" x14ac:dyDescent="0.25">
      <c r="A36" s="17" t="s">
        <v>221</v>
      </c>
      <c r="B36" s="18" t="s">
        <v>222</v>
      </c>
      <c r="C36" s="18" t="s">
        <v>46</v>
      </c>
      <c r="D36" s="18" t="s">
        <v>46</v>
      </c>
      <c r="E36" s="18" t="s">
        <v>40</v>
      </c>
      <c r="F36" s="18" t="s">
        <v>98</v>
      </c>
      <c r="G36" s="18" t="s">
        <v>99</v>
      </c>
      <c r="H36" s="18" t="s">
        <v>100</v>
      </c>
      <c r="I36" s="19" t="s">
        <v>33</v>
      </c>
      <c r="J36" s="18" t="s">
        <v>222</v>
      </c>
      <c r="K36" s="18" t="s">
        <v>102</v>
      </c>
      <c r="L36" s="18"/>
      <c r="M36" s="18"/>
      <c r="N36" s="20"/>
      <c r="O36" s="20" t="s">
        <v>223</v>
      </c>
    </row>
    <row r="37" spans="1:15" x14ac:dyDescent="0.25">
      <c r="A37" s="13" t="s">
        <v>224</v>
      </c>
      <c r="B37" s="14" t="s">
        <v>198</v>
      </c>
      <c r="C37" s="14" t="s">
        <v>46</v>
      </c>
      <c r="D37" s="14" t="s">
        <v>46</v>
      </c>
      <c r="E37" s="14" t="s">
        <v>40</v>
      </c>
      <c r="F37" s="14" t="s">
        <v>98</v>
      </c>
      <c r="G37" s="14" t="s">
        <v>197</v>
      </c>
      <c r="H37" s="14" t="s">
        <v>198</v>
      </c>
      <c r="I37" s="15" t="s">
        <v>33</v>
      </c>
      <c r="J37" s="14" t="s">
        <v>108</v>
      </c>
      <c r="K37" s="14" t="s">
        <v>109</v>
      </c>
      <c r="L37" s="14"/>
      <c r="M37" s="14"/>
      <c r="N37" s="16"/>
      <c r="O37" s="16"/>
    </row>
    <row r="38" spans="1:15" x14ac:dyDescent="0.25">
      <c r="A38" s="17" t="s">
        <v>225</v>
      </c>
      <c r="B38" s="18" t="s">
        <v>226</v>
      </c>
      <c r="C38" s="18" t="s">
        <v>46</v>
      </c>
      <c r="D38" s="18" t="s">
        <v>46</v>
      </c>
      <c r="E38" s="18" t="s">
        <v>40</v>
      </c>
      <c r="F38" s="18" t="s">
        <v>98</v>
      </c>
      <c r="G38" s="18" t="s">
        <v>227</v>
      </c>
      <c r="H38" s="18" t="s">
        <v>228</v>
      </c>
      <c r="I38" s="19" t="s">
        <v>33</v>
      </c>
      <c r="J38" s="18" t="s">
        <v>226</v>
      </c>
      <c r="K38" s="18" t="s">
        <v>121</v>
      </c>
      <c r="L38" s="18"/>
      <c r="M38" s="18"/>
      <c r="N38" s="20"/>
      <c r="O38" s="20"/>
    </row>
    <row r="39" spans="1:15" ht="38.25" x14ac:dyDescent="0.25">
      <c r="A39" s="13" t="s">
        <v>229</v>
      </c>
      <c r="B39" s="14" t="s">
        <v>230</v>
      </c>
      <c r="C39" s="14" t="s">
        <v>46</v>
      </c>
      <c r="D39" s="14" t="s">
        <v>46</v>
      </c>
      <c r="E39" s="14" t="s">
        <v>40</v>
      </c>
      <c r="F39" s="14" t="s">
        <v>98</v>
      </c>
      <c r="G39" s="14" t="s">
        <v>99</v>
      </c>
      <c r="H39" s="14" t="s">
        <v>100</v>
      </c>
      <c r="I39" s="15" t="s">
        <v>33</v>
      </c>
      <c r="J39" s="14" t="s">
        <v>231</v>
      </c>
      <c r="K39" s="14" t="s">
        <v>102</v>
      </c>
      <c r="L39" s="14"/>
      <c r="M39" s="14"/>
      <c r="N39" s="16"/>
      <c r="O39" s="16" t="s">
        <v>232</v>
      </c>
    </row>
    <row r="40" spans="1:15" ht="38.25" x14ac:dyDescent="0.25">
      <c r="A40" s="17" t="s">
        <v>233</v>
      </c>
      <c r="B40" s="18" t="s">
        <v>234</v>
      </c>
      <c r="C40" s="18" t="s">
        <v>46</v>
      </c>
      <c r="D40" s="18" t="s">
        <v>46</v>
      </c>
      <c r="E40" s="18" t="s">
        <v>40</v>
      </c>
      <c r="F40" s="18" t="s">
        <v>98</v>
      </c>
      <c r="G40" s="18" t="s">
        <v>99</v>
      </c>
      <c r="H40" s="18" t="s">
        <v>100</v>
      </c>
      <c r="I40" s="19" t="s">
        <v>33</v>
      </c>
      <c r="J40" s="18" t="s">
        <v>234</v>
      </c>
      <c r="K40" s="18" t="s">
        <v>102</v>
      </c>
      <c r="L40" s="18"/>
      <c r="M40" s="18"/>
      <c r="N40" s="20"/>
      <c r="O40" s="20" t="s">
        <v>235</v>
      </c>
    </row>
    <row r="41" spans="1:15" ht="25.5" x14ac:dyDescent="0.25">
      <c r="A41" s="13" t="s">
        <v>236</v>
      </c>
      <c r="B41" s="14" t="s">
        <v>237</v>
      </c>
      <c r="C41" s="14" t="s">
        <v>46</v>
      </c>
      <c r="D41" s="14" t="s">
        <v>46</v>
      </c>
      <c r="E41" s="14" t="s">
        <v>40</v>
      </c>
      <c r="F41" s="14" t="s">
        <v>98</v>
      </c>
      <c r="G41" s="14" t="s">
        <v>238</v>
      </c>
      <c r="H41" s="14" t="s">
        <v>239</v>
      </c>
      <c r="I41" s="15" t="s">
        <v>33</v>
      </c>
      <c r="J41" s="14" t="s">
        <v>239</v>
      </c>
      <c r="K41" s="14" t="s">
        <v>46</v>
      </c>
      <c r="L41" s="14"/>
      <c r="M41" s="14"/>
      <c r="N41" s="16"/>
      <c r="O41" s="16" t="s">
        <v>240</v>
      </c>
    </row>
    <row r="42" spans="1:15" x14ac:dyDescent="0.25">
      <c r="A42" s="17" t="s">
        <v>241</v>
      </c>
      <c r="B42" s="18" t="s">
        <v>242</v>
      </c>
      <c r="C42" s="18" t="s">
        <v>47</v>
      </c>
      <c r="D42" s="18" t="s">
        <v>47</v>
      </c>
      <c r="E42" s="18" t="s">
        <v>40</v>
      </c>
      <c r="F42" s="18" t="s">
        <v>98</v>
      </c>
      <c r="G42" s="18" t="s">
        <v>243</v>
      </c>
      <c r="H42" s="18" t="s">
        <v>244</v>
      </c>
      <c r="I42" s="19" t="s">
        <v>33</v>
      </c>
      <c r="J42" s="18" t="s">
        <v>245</v>
      </c>
      <c r="K42" s="18" t="s">
        <v>46</v>
      </c>
      <c r="L42" s="18"/>
      <c r="M42" s="18" t="s">
        <v>246</v>
      </c>
      <c r="N42" s="20"/>
      <c r="O42" s="20"/>
    </row>
    <row r="43" spans="1:15" ht="38.25" x14ac:dyDescent="0.25">
      <c r="A43" s="13" t="s">
        <v>247</v>
      </c>
      <c r="B43" s="14" t="s">
        <v>248</v>
      </c>
      <c r="C43" s="14" t="s">
        <v>47</v>
      </c>
      <c r="D43" s="14" t="s">
        <v>47</v>
      </c>
      <c r="E43" s="14" t="s">
        <v>40</v>
      </c>
      <c r="F43" s="14" t="s">
        <v>98</v>
      </c>
      <c r="G43" s="14" t="s">
        <v>243</v>
      </c>
      <c r="H43" s="14" t="s">
        <v>244</v>
      </c>
      <c r="I43" s="15" t="s">
        <v>33</v>
      </c>
      <c r="J43" s="14" t="s">
        <v>245</v>
      </c>
      <c r="K43" s="14" t="s">
        <v>46</v>
      </c>
      <c r="L43" s="14"/>
      <c r="M43" s="14" t="s">
        <v>246</v>
      </c>
      <c r="N43" s="16"/>
      <c r="O43" s="16" t="s">
        <v>249</v>
      </c>
    </row>
    <row r="44" spans="1:15" x14ac:dyDescent="0.25">
      <c r="A44" s="17" t="s">
        <v>250</v>
      </c>
      <c r="B44" s="18" t="s">
        <v>156</v>
      </c>
      <c r="C44" s="18" t="s">
        <v>47</v>
      </c>
      <c r="D44" s="18" t="s">
        <v>47</v>
      </c>
      <c r="E44" s="18" t="s">
        <v>40</v>
      </c>
      <c r="F44" s="18" t="s">
        <v>98</v>
      </c>
      <c r="G44" s="18" t="s">
        <v>251</v>
      </c>
      <c r="H44" s="18" t="s">
        <v>252</v>
      </c>
      <c r="I44" s="19" t="s">
        <v>33</v>
      </c>
      <c r="J44" s="18" t="s">
        <v>108</v>
      </c>
      <c r="K44" s="18" t="s">
        <v>109</v>
      </c>
      <c r="L44" s="18"/>
      <c r="M44" s="18" t="s">
        <v>246</v>
      </c>
      <c r="N44" s="20"/>
      <c r="O44" s="20"/>
    </row>
    <row r="45" spans="1:15" x14ac:dyDescent="0.25">
      <c r="A45" s="13" t="s">
        <v>253</v>
      </c>
      <c r="B45" s="14" t="s">
        <v>254</v>
      </c>
      <c r="C45" s="14" t="s">
        <v>47</v>
      </c>
      <c r="D45" s="14" t="s">
        <v>47</v>
      </c>
      <c r="E45" s="14" t="s">
        <v>40</v>
      </c>
      <c r="F45" s="14" t="s">
        <v>98</v>
      </c>
      <c r="G45" s="14" t="s">
        <v>255</v>
      </c>
      <c r="H45" s="14" t="s">
        <v>256</v>
      </c>
      <c r="I45" s="15" t="s">
        <v>33</v>
      </c>
      <c r="J45" s="14" t="s">
        <v>108</v>
      </c>
      <c r="K45" s="14" t="s">
        <v>109</v>
      </c>
      <c r="L45" s="14"/>
      <c r="M45" s="14" t="s">
        <v>246</v>
      </c>
      <c r="N45" s="16"/>
      <c r="O45" s="16"/>
    </row>
    <row r="46" spans="1:15" x14ac:dyDescent="0.25">
      <c r="A46" s="17" t="s">
        <v>257</v>
      </c>
      <c r="B46" s="18" t="s">
        <v>222</v>
      </c>
      <c r="C46" s="18" t="s">
        <v>47</v>
      </c>
      <c r="D46" s="18" t="s">
        <v>47</v>
      </c>
      <c r="E46" s="18" t="s">
        <v>40</v>
      </c>
      <c r="F46" s="18" t="s">
        <v>98</v>
      </c>
      <c r="G46" s="18" t="s">
        <v>243</v>
      </c>
      <c r="H46" s="18" t="s">
        <v>244</v>
      </c>
      <c r="I46" s="19" t="s">
        <v>33</v>
      </c>
      <c r="J46" s="18" t="s">
        <v>245</v>
      </c>
      <c r="K46" s="18" t="s">
        <v>46</v>
      </c>
      <c r="L46" s="18"/>
      <c r="M46" s="18" t="s">
        <v>246</v>
      </c>
      <c r="N46" s="20"/>
      <c r="O46" s="20"/>
    </row>
    <row r="47" spans="1:15" x14ac:dyDescent="0.25">
      <c r="A47" s="13" t="s">
        <v>258</v>
      </c>
      <c r="B47" s="14" t="s">
        <v>234</v>
      </c>
      <c r="C47" s="14" t="s">
        <v>47</v>
      </c>
      <c r="D47" s="14" t="s">
        <v>47</v>
      </c>
      <c r="E47" s="14" t="s">
        <v>40</v>
      </c>
      <c r="F47" s="14" t="s">
        <v>98</v>
      </c>
      <c r="G47" s="14" t="s">
        <v>243</v>
      </c>
      <c r="H47" s="14" t="s">
        <v>244</v>
      </c>
      <c r="I47" s="15" t="s">
        <v>33</v>
      </c>
      <c r="J47" s="14" t="s">
        <v>245</v>
      </c>
      <c r="K47" s="14" t="s">
        <v>46</v>
      </c>
      <c r="L47" s="14"/>
      <c r="M47" s="14" t="s">
        <v>246</v>
      </c>
      <c r="N47" s="16"/>
      <c r="O47" s="16"/>
    </row>
    <row r="48" spans="1:15" ht="38.25" x14ac:dyDescent="0.25">
      <c r="A48" s="17" t="s">
        <v>259</v>
      </c>
      <c r="B48" s="18" t="s">
        <v>260</v>
      </c>
      <c r="C48" s="18" t="s">
        <v>47</v>
      </c>
      <c r="D48" s="18" t="s">
        <v>47</v>
      </c>
      <c r="E48" s="18" t="s">
        <v>40</v>
      </c>
      <c r="F48" s="18" t="s">
        <v>98</v>
      </c>
      <c r="G48" s="18"/>
      <c r="H48" s="18"/>
      <c r="I48" s="19" t="s">
        <v>33</v>
      </c>
      <c r="J48" s="18" t="s">
        <v>261</v>
      </c>
      <c r="K48" s="18" t="s">
        <v>262</v>
      </c>
      <c r="L48" s="18"/>
      <c r="M48" s="18"/>
      <c r="N48" s="20"/>
      <c r="O48" s="20" t="s">
        <v>263</v>
      </c>
    </row>
    <row r="49" spans="1:15" x14ac:dyDescent="0.25">
      <c r="A49" s="13" t="s">
        <v>264</v>
      </c>
      <c r="B49" s="14" t="s">
        <v>265</v>
      </c>
      <c r="C49" s="14" t="s">
        <v>48</v>
      </c>
      <c r="D49" s="14" t="s">
        <v>48</v>
      </c>
      <c r="E49" s="14" t="s">
        <v>44</v>
      </c>
      <c r="F49" s="14" t="s">
        <v>215</v>
      </c>
      <c r="G49" s="14" t="s">
        <v>266</v>
      </c>
      <c r="H49" s="14" t="s">
        <v>267</v>
      </c>
      <c r="I49" s="15" t="s">
        <v>33</v>
      </c>
      <c r="J49" s="14" t="s">
        <v>108</v>
      </c>
      <c r="K49" s="14" t="s">
        <v>109</v>
      </c>
      <c r="L49" s="14" t="s">
        <v>268</v>
      </c>
      <c r="M49" s="14"/>
      <c r="N49" s="16"/>
      <c r="O49" s="16"/>
    </row>
    <row r="50" spans="1:15" x14ac:dyDescent="0.25">
      <c r="A50" s="17" t="s">
        <v>269</v>
      </c>
      <c r="B50" s="18" t="s">
        <v>270</v>
      </c>
      <c r="C50" s="18" t="s">
        <v>48</v>
      </c>
      <c r="D50" s="18" t="s">
        <v>43</v>
      </c>
      <c r="E50" s="18" t="s">
        <v>43</v>
      </c>
      <c r="F50" s="18" t="s">
        <v>215</v>
      </c>
      <c r="G50" s="18" t="s">
        <v>271</v>
      </c>
      <c r="H50" s="18" t="s">
        <v>272</v>
      </c>
      <c r="I50" s="19" t="s">
        <v>33</v>
      </c>
      <c r="J50" s="18" t="s">
        <v>108</v>
      </c>
      <c r="K50" s="18" t="s">
        <v>109</v>
      </c>
      <c r="L50" s="18" t="s">
        <v>273</v>
      </c>
      <c r="M50" s="18"/>
      <c r="N50" s="20"/>
      <c r="O50" s="20"/>
    </row>
    <row r="51" spans="1:15" x14ac:dyDescent="0.25">
      <c r="A51" s="13" t="s">
        <v>274</v>
      </c>
      <c r="B51" s="14" t="s">
        <v>275</v>
      </c>
      <c r="C51" s="14" t="s">
        <v>48</v>
      </c>
      <c r="D51" s="14" t="s">
        <v>48</v>
      </c>
      <c r="E51" s="14" t="s">
        <v>44</v>
      </c>
      <c r="F51" s="14" t="s">
        <v>215</v>
      </c>
      <c r="G51" s="14" t="s">
        <v>266</v>
      </c>
      <c r="H51" s="14" t="s">
        <v>267</v>
      </c>
      <c r="I51" s="15" t="s">
        <v>33</v>
      </c>
      <c r="J51" s="14" t="s">
        <v>108</v>
      </c>
      <c r="K51" s="14" t="s">
        <v>109</v>
      </c>
      <c r="L51" s="14" t="s">
        <v>276</v>
      </c>
      <c r="M51" s="14"/>
      <c r="N51" s="16"/>
      <c r="O51" s="16"/>
    </row>
    <row r="52" spans="1:15" x14ac:dyDescent="0.25">
      <c r="A52" s="17" t="s">
        <v>277</v>
      </c>
      <c r="B52" s="18" t="s">
        <v>278</v>
      </c>
      <c r="C52" s="18" t="s">
        <v>48</v>
      </c>
      <c r="D52" s="18" t="s">
        <v>48</v>
      </c>
      <c r="E52" s="18" t="s">
        <v>44</v>
      </c>
      <c r="F52" s="18" t="s">
        <v>215</v>
      </c>
      <c r="G52" s="18" t="s">
        <v>266</v>
      </c>
      <c r="H52" s="18" t="s">
        <v>267</v>
      </c>
      <c r="I52" s="19" t="s">
        <v>33</v>
      </c>
      <c r="J52" s="18" t="s">
        <v>108</v>
      </c>
      <c r="K52" s="18" t="s">
        <v>109</v>
      </c>
      <c r="L52" s="18" t="s">
        <v>276</v>
      </c>
      <c r="M52" s="18" t="s">
        <v>279</v>
      </c>
      <c r="N52" s="20"/>
      <c r="O52" s="20"/>
    </row>
    <row r="53" spans="1:15" x14ac:dyDescent="0.25">
      <c r="A53" s="13" t="s">
        <v>280</v>
      </c>
      <c r="B53" s="14" t="s">
        <v>281</v>
      </c>
      <c r="C53" s="14" t="s">
        <v>48</v>
      </c>
      <c r="D53" s="14" t="s">
        <v>48</v>
      </c>
      <c r="E53" s="14" t="s">
        <v>44</v>
      </c>
      <c r="F53" s="14" t="s">
        <v>215</v>
      </c>
      <c r="G53" s="14" t="s">
        <v>266</v>
      </c>
      <c r="H53" s="14" t="s">
        <v>267</v>
      </c>
      <c r="I53" s="15" t="s">
        <v>33</v>
      </c>
      <c r="J53" s="14" t="s">
        <v>108</v>
      </c>
      <c r="K53" s="14" t="s">
        <v>109</v>
      </c>
      <c r="L53" s="14" t="s">
        <v>282</v>
      </c>
      <c r="M53" s="14"/>
      <c r="N53" s="16"/>
      <c r="O53" s="16"/>
    </row>
    <row r="54" spans="1:15" x14ac:dyDescent="0.25">
      <c r="A54" s="17" t="s">
        <v>283</v>
      </c>
      <c r="B54" s="18" t="s">
        <v>284</v>
      </c>
      <c r="C54" s="18" t="s">
        <v>48</v>
      </c>
      <c r="D54" s="18" t="s">
        <v>48</v>
      </c>
      <c r="E54" s="18" t="s">
        <v>44</v>
      </c>
      <c r="F54" s="18" t="s">
        <v>215</v>
      </c>
      <c r="G54" s="18" t="s">
        <v>266</v>
      </c>
      <c r="H54" s="18" t="s">
        <v>267</v>
      </c>
      <c r="I54" s="19" t="s">
        <v>33</v>
      </c>
      <c r="J54" s="18" t="s">
        <v>108</v>
      </c>
      <c r="K54" s="18" t="s">
        <v>109</v>
      </c>
      <c r="L54" s="18" t="s">
        <v>268</v>
      </c>
      <c r="M54" s="18"/>
      <c r="N54" s="20"/>
      <c r="O54" s="20"/>
    </row>
    <row r="55" spans="1:15" x14ac:dyDescent="0.25">
      <c r="A55" s="13" t="s">
        <v>285</v>
      </c>
      <c r="B55" s="14" t="s">
        <v>286</v>
      </c>
      <c r="C55" s="14" t="s">
        <v>48</v>
      </c>
      <c r="D55" s="14" t="s">
        <v>48</v>
      </c>
      <c r="E55" s="14" t="s">
        <v>44</v>
      </c>
      <c r="F55" s="14" t="s">
        <v>215</v>
      </c>
      <c r="G55" s="14" t="s">
        <v>266</v>
      </c>
      <c r="H55" s="14" t="s">
        <v>267</v>
      </c>
      <c r="I55" s="15" t="s">
        <v>33</v>
      </c>
      <c r="J55" s="14" t="s">
        <v>108</v>
      </c>
      <c r="K55" s="14" t="s">
        <v>109</v>
      </c>
      <c r="L55" s="14" t="s">
        <v>268</v>
      </c>
      <c r="M55" s="14" t="s">
        <v>287</v>
      </c>
      <c r="N55" s="16"/>
      <c r="O55" s="16"/>
    </row>
    <row r="56" spans="1:15" x14ac:dyDescent="0.25">
      <c r="A56" s="17" t="s">
        <v>288</v>
      </c>
      <c r="B56" s="18" t="s">
        <v>289</v>
      </c>
      <c r="C56" s="18" t="s">
        <v>48</v>
      </c>
      <c r="D56" s="18" t="s">
        <v>48</v>
      </c>
      <c r="E56" s="18" t="s">
        <v>44</v>
      </c>
      <c r="F56" s="18" t="s">
        <v>215</v>
      </c>
      <c r="G56" s="18" t="s">
        <v>290</v>
      </c>
      <c r="H56" s="18" t="s">
        <v>291</v>
      </c>
      <c r="I56" s="19" t="s">
        <v>33</v>
      </c>
      <c r="J56" s="18" t="s">
        <v>108</v>
      </c>
      <c r="K56" s="18" t="s">
        <v>109</v>
      </c>
      <c r="L56" s="18" t="s">
        <v>292</v>
      </c>
      <c r="M56" s="18" t="s">
        <v>287</v>
      </c>
      <c r="N56" s="20"/>
      <c r="O56" s="20"/>
    </row>
    <row r="57" spans="1:15" x14ac:dyDescent="0.25">
      <c r="A57" s="13" t="s">
        <v>293</v>
      </c>
      <c r="B57" s="14" t="s">
        <v>294</v>
      </c>
      <c r="C57" s="14" t="s">
        <v>48</v>
      </c>
      <c r="D57" s="14" t="s">
        <v>48</v>
      </c>
      <c r="E57" s="14" t="s">
        <v>44</v>
      </c>
      <c r="F57" s="14" t="s">
        <v>215</v>
      </c>
      <c r="G57" s="14" t="s">
        <v>266</v>
      </c>
      <c r="H57" s="14" t="s">
        <v>267</v>
      </c>
      <c r="I57" s="15" t="s">
        <v>33</v>
      </c>
      <c r="J57" s="14" t="s">
        <v>108</v>
      </c>
      <c r="K57" s="14" t="s">
        <v>109</v>
      </c>
      <c r="L57" s="14" t="s">
        <v>295</v>
      </c>
      <c r="M57" s="14" t="s">
        <v>287</v>
      </c>
      <c r="N57" s="16"/>
      <c r="O57" s="16"/>
    </row>
    <row r="58" spans="1:15" x14ac:dyDescent="0.25">
      <c r="A58" s="17" t="s">
        <v>296</v>
      </c>
      <c r="B58" s="18" t="s">
        <v>297</v>
      </c>
      <c r="C58" s="18" t="s">
        <v>48</v>
      </c>
      <c r="D58" s="18" t="s">
        <v>48</v>
      </c>
      <c r="E58" s="18" t="s">
        <v>44</v>
      </c>
      <c r="F58" s="18" t="s">
        <v>215</v>
      </c>
      <c r="G58" s="18" t="s">
        <v>298</v>
      </c>
      <c r="H58" s="18" t="s">
        <v>299</v>
      </c>
      <c r="I58" s="19" t="s">
        <v>33</v>
      </c>
      <c r="J58" s="18" t="s">
        <v>108</v>
      </c>
      <c r="K58" s="18" t="s">
        <v>109</v>
      </c>
      <c r="L58" s="18" t="s">
        <v>300</v>
      </c>
      <c r="M58" s="18"/>
      <c r="N58" s="20"/>
      <c r="O58" s="20"/>
    </row>
    <row r="59" spans="1:15" x14ac:dyDescent="0.25">
      <c r="A59" s="13" t="s">
        <v>301</v>
      </c>
      <c r="B59" s="14" t="s">
        <v>302</v>
      </c>
      <c r="C59" s="14" t="s">
        <v>48</v>
      </c>
      <c r="D59" s="14" t="s">
        <v>48</v>
      </c>
      <c r="E59" s="14" t="s">
        <v>44</v>
      </c>
      <c r="F59" s="14" t="s">
        <v>215</v>
      </c>
      <c r="G59" s="14" t="s">
        <v>303</v>
      </c>
      <c r="H59" s="14" t="s">
        <v>304</v>
      </c>
      <c r="I59" s="15" t="s">
        <v>33</v>
      </c>
      <c r="J59" s="14" t="s">
        <v>305</v>
      </c>
      <c r="K59" s="14" t="s">
        <v>46</v>
      </c>
      <c r="L59" s="14" t="s">
        <v>276</v>
      </c>
      <c r="M59" s="14"/>
      <c r="N59" s="16"/>
      <c r="O59" s="16"/>
    </row>
    <row r="60" spans="1:15" ht="51" x14ac:dyDescent="0.25">
      <c r="A60" s="17" t="s">
        <v>306</v>
      </c>
      <c r="B60" s="18" t="s">
        <v>307</v>
      </c>
      <c r="C60" s="18" t="s">
        <v>48</v>
      </c>
      <c r="D60" s="18" t="s">
        <v>48</v>
      </c>
      <c r="E60" s="18" t="s">
        <v>42</v>
      </c>
      <c r="F60" s="18" t="s">
        <v>215</v>
      </c>
      <c r="G60" s="18" t="s">
        <v>308</v>
      </c>
      <c r="H60" s="18" t="s">
        <v>309</v>
      </c>
      <c r="I60" s="19" t="s">
        <v>33</v>
      </c>
      <c r="J60" s="18" t="s">
        <v>108</v>
      </c>
      <c r="K60" s="18" t="s">
        <v>109</v>
      </c>
      <c r="L60" s="18"/>
      <c r="M60" s="18" t="s">
        <v>310</v>
      </c>
      <c r="N60" s="20" t="s">
        <v>311</v>
      </c>
      <c r="O60" s="20"/>
    </row>
    <row r="61" spans="1:15" ht="25.5" x14ac:dyDescent="0.25">
      <c r="A61" s="13" t="s">
        <v>312</v>
      </c>
      <c r="B61" s="14" t="s">
        <v>313</v>
      </c>
      <c r="C61" s="14" t="s">
        <v>48</v>
      </c>
      <c r="D61" s="14" t="s">
        <v>48</v>
      </c>
      <c r="E61" s="14" t="s">
        <v>42</v>
      </c>
      <c r="F61" s="14" t="s">
        <v>215</v>
      </c>
      <c r="G61" s="14" t="s">
        <v>314</v>
      </c>
      <c r="H61" s="14" t="s">
        <v>315</v>
      </c>
      <c r="I61" s="15" t="s">
        <v>33</v>
      </c>
      <c r="J61" s="14" t="s">
        <v>108</v>
      </c>
      <c r="K61" s="14" t="s">
        <v>109</v>
      </c>
      <c r="L61" s="14"/>
      <c r="M61" s="14" t="s">
        <v>310</v>
      </c>
      <c r="N61" s="16" t="s">
        <v>316</v>
      </c>
      <c r="O61" s="16"/>
    </row>
    <row r="62" spans="1:15" ht="25.5" x14ac:dyDescent="0.25">
      <c r="A62" s="17" t="s">
        <v>317</v>
      </c>
      <c r="B62" s="18" t="s">
        <v>318</v>
      </c>
      <c r="C62" s="18" t="s">
        <v>48</v>
      </c>
      <c r="D62" s="18" t="s">
        <v>48</v>
      </c>
      <c r="E62" s="18" t="s">
        <v>42</v>
      </c>
      <c r="F62" s="18" t="s">
        <v>215</v>
      </c>
      <c r="G62" s="18" t="s">
        <v>319</v>
      </c>
      <c r="H62" s="18" t="s">
        <v>320</v>
      </c>
      <c r="I62" s="19" t="s">
        <v>33</v>
      </c>
      <c r="J62" s="18" t="s">
        <v>108</v>
      </c>
      <c r="K62" s="18" t="s">
        <v>109</v>
      </c>
      <c r="L62" s="18"/>
      <c r="M62" s="18" t="s">
        <v>310</v>
      </c>
      <c r="N62" s="20" t="s">
        <v>321</v>
      </c>
      <c r="O62" s="20"/>
    </row>
    <row r="63" spans="1:15" ht="76.5" x14ac:dyDescent="0.25">
      <c r="A63" s="13" t="s">
        <v>322</v>
      </c>
      <c r="B63" s="14" t="s">
        <v>307</v>
      </c>
      <c r="C63" s="14" t="s">
        <v>48</v>
      </c>
      <c r="D63" s="14" t="s">
        <v>48</v>
      </c>
      <c r="E63" s="14" t="s">
        <v>40</v>
      </c>
      <c r="F63" s="14" t="s">
        <v>98</v>
      </c>
      <c r="G63" s="14"/>
      <c r="H63" s="14"/>
      <c r="I63" s="15" t="s">
        <v>33</v>
      </c>
      <c r="J63" s="14" t="s">
        <v>307</v>
      </c>
      <c r="K63" s="14" t="s">
        <v>262</v>
      </c>
      <c r="L63" s="14"/>
      <c r="M63" s="14"/>
      <c r="N63" s="16" t="s">
        <v>323</v>
      </c>
      <c r="O63" s="16" t="s">
        <v>324</v>
      </c>
    </row>
    <row r="64" spans="1:15" ht="76.5" x14ac:dyDescent="0.25">
      <c r="A64" s="17" t="s">
        <v>325</v>
      </c>
      <c r="B64" s="18" t="s">
        <v>318</v>
      </c>
      <c r="C64" s="18" t="s">
        <v>48</v>
      </c>
      <c r="D64" s="18" t="s">
        <v>48</v>
      </c>
      <c r="E64" s="18" t="s">
        <v>40</v>
      </c>
      <c r="F64" s="18" t="s">
        <v>98</v>
      </c>
      <c r="G64" s="18"/>
      <c r="H64" s="18"/>
      <c r="I64" s="19" t="s">
        <v>33</v>
      </c>
      <c r="J64" s="18" t="s">
        <v>326</v>
      </c>
      <c r="K64" s="18" t="s">
        <v>262</v>
      </c>
      <c r="L64" s="18"/>
      <c r="M64" s="18"/>
      <c r="N64" s="20" t="s">
        <v>323</v>
      </c>
      <c r="O64" s="20" t="s">
        <v>327</v>
      </c>
    </row>
    <row r="65" spans="1:15" ht="63.75" x14ac:dyDescent="0.25">
      <c r="A65" s="13" t="s">
        <v>328</v>
      </c>
      <c r="B65" s="14" t="s">
        <v>329</v>
      </c>
      <c r="C65" s="14" t="s">
        <v>48</v>
      </c>
      <c r="D65" s="14" t="s">
        <v>48</v>
      </c>
      <c r="E65" s="14" t="s">
        <v>40</v>
      </c>
      <c r="F65" s="14" t="s">
        <v>98</v>
      </c>
      <c r="G65" s="14" t="s">
        <v>303</v>
      </c>
      <c r="H65" s="14" t="s">
        <v>304</v>
      </c>
      <c r="I65" s="15" t="s">
        <v>33</v>
      </c>
      <c r="J65" s="14" t="s">
        <v>305</v>
      </c>
      <c r="K65" s="14" t="s">
        <v>46</v>
      </c>
      <c r="L65" s="14"/>
      <c r="M65" s="14"/>
      <c r="N65" s="16" t="s">
        <v>330</v>
      </c>
      <c r="O65" s="16"/>
    </row>
    <row r="66" spans="1:15" ht="63.75" x14ac:dyDescent="0.25">
      <c r="A66" s="17" t="s">
        <v>331</v>
      </c>
      <c r="B66" s="18" t="s">
        <v>318</v>
      </c>
      <c r="C66" s="18" t="s">
        <v>48</v>
      </c>
      <c r="D66" s="18" t="s">
        <v>48</v>
      </c>
      <c r="E66" s="18" t="s">
        <v>40</v>
      </c>
      <c r="F66" s="18" t="s">
        <v>98</v>
      </c>
      <c r="G66" s="18" t="s">
        <v>319</v>
      </c>
      <c r="H66" s="18" t="s">
        <v>320</v>
      </c>
      <c r="I66" s="19" t="s">
        <v>33</v>
      </c>
      <c r="J66" s="18" t="s">
        <v>182</v>
      </c>
      <c r="K66" s="18" t="s">
        <v>167</v>
      </c>
      <c r="L66" s="18"/>
      <c r="M66" s="18"/>
      <c r="N66" s="20" t="s">
        <v>332</v>
      </c>
      <c r="O66" s="20"/>
    </row>
    <row r="67" spans="1:15" x14ac:dyDescent="0.25">
      <c r="A67" s="13" t="s">
        <v>333</v>
      </c>
      <c r="B67" s="14" t="s">
        <v>334</v>
      </c>
      <c r="C67" s="14" t="s">
        <v>49</v>
      </c>
      <c r="D67" s="14" t="s">
        <v>49</v>
      </c>
      <c r="E67" s="14" t="s">
        <v>43</v>
      </c>
      <c r="F67" s="14" t="s">
        <v>215</v>
      </c>
      <c r="G67" s="14" t="s">
        <v>335</v>
      </c>
      <c r="H67" s="14" t="s">
        <v>336</v>
      </c>
      <c r="I67" s="15" t="s">
        <v>33</v>
      </c>
      <c r="J67" s="14" t="s">
        <v>108</v>
      </c>
      <c r="K67" s="14" t="s">
        <v>109</v>
      </c>
      <c r="L67" s="14"/>
      <c r="M67" s="14"/>
      <c r="N67" s="16"/>
      <c r="O67" s="16"/>
    </row>
    <row r="68" spans="1:15" x14ac:dyDescent="0.25">
      <c r="A68" s="17" t="s">
        <v>337</v>
      </c>
      <c r="B68" s="18" t="s">
        <v>338</v>
      </c>
      <c r="C68" s="18" t="s">
        <v>49</v>
      </c>
      <c r="D68" s="18" t="s">
        <v>49</v>
      </c>
      <c r="E68" s="18" t="s">
        <v>43</v>
      </c>
      <c r="F68" s="18" t="s">
        <v>215</v>
      </c>
      <c r="G68" s="18" t="s">
        <v>335</v>
      </c>
      <c r="H68" s="18" t="s">
        <v>336</v>
      </c>
      <c r="I68" s="19" t="s">
        <v>33</v>
      </c>
      <c r="J68" s="18" t="s">
        <v>108</v>
      </c>
      <c r="K68" s="18" t="s">
        <v>109</v>
      </c>
      <c r="L68" s="18"/>
      <c r="M68" s="18" t="s">
        <v>339</v>
      </c>
      <c r="N68" s="20"/>
      <c r="O68" s="20"/>
    </row>
    <row r="69" spans="1:15" ht="76.5" x14ac:dyDescent="0.25">
      <c r="A69" s="13" t="s">
        <v>340</v>
      </c>
      <c r="B69" s="14" t="s">
        <v>341</v>
      </c>
      <c r="C69" s="14" t="s">
        <v>43</v>
      </c>
      <c r="D69" s="14" t="s">
        <v>43</v>
      </c>
      <c r="E69" s="14" t="s">
        <v>40</v>
      </c>
      <c r="F69" s="14" t="s">
        <v>98</v>
      </c>
      <c r="G69" s="14"/>
      <c r="H69" s="14"/>
      <c r="I69" s="15" t="s">
        <v>33</v>
      </c>
      <c r="J69" s="14" t="s">
        <v>341</v>
      </c>
      <c r="K69" s="14" t="s">
        <v>262</v>
      </c>
      <c r="L69" s="14"/>
      <c r="M69" s="14"/>
      <c r="N69" s="16" t="s">
        <v>323</v>
      </c>
      <c r="O69" s="16" t="s">
        <v>342</v>
      </c>
    </row>
    <row r="70" spans="1:15" ht="76.5" x14ac:dyDescent="0.25">
      <c r="A70" s="17" t="s">
        <v>343</v>
      </c>
      <c r="B70" s="18" t="s">
        <v>344</v>
      </c>
      <c r="C70" s="18" t="s">
        <v>43</v>
      </c>
      <c r="D70" s="18" t="s">
        <v>43</v>
      </c>
      <c r="E70" s="18" t="s">
        <v>40</v>
      </c>
      <c r="F70" s="18" t="s">
        <v>98</v>
      </c>
      <c r="G70" s="18"/>
      <c r="H70" s="18"/>
      <c r="I70" s="19" t="s">
        <v>33</v>
      </c>
      <c r="J70" s="18" t="s">
        <v>344</v>
      </c>
      <c r="K70" s="18" t="s">
        <v>262</v>
      </c>
      <c r="L70" s="18"/>
      <c r="M70" s="18"/>
      <c r="N70" s="20" t="s">
        <v>323</v>
      </c>
      <c r="O70" s="20" t="s">
        <v>345</v>
      </c>
    </row>
    <row r="71" spans="1:15" x14ac:dyDescent="0.25">
      <c r="A71" s="13" t="s">
        <v>346</v>
      </c>
      <c r="B71" s="14" t="s">
        <v>347</v>
      </c>
      <c r="C71" s="14" t="s">
        <v>43</v>
      </c>
      <c r="D71" s="14" t="s">
        <v>43</v>
      </c>
      <c r="E71" s="14" t="s">
        <v>43</v>
      </c>
      <c r="F71" s="14" t="s">
        <v>215</v>
      </c>
      <c r="G71" s="14" t="s">
        <v>348</v>
      </c>
      <c r="H71" s="14" t="s">
        <v>349</v>
      </c>
      <c r="I71" s="15" t="s">
        <v>33</v>
      </c>
      <c r="J71" s="14" t="s">
        <v>108</v>
      </c>
      <c r="K71" s="14" t="s">
        <v>109</v>
      </c>
      <c r="L71" s="14"/>
      <c r="M71" s="14"/>
      <c r="N71" s="16"/>
      <c r="O71" s="16"/>
    </row>
    <row r="72" spans="1:15" ht="25.5" x14ac:dyDescent="0.25">
      <c r="A72" s="17" t="s">
        <v>350</v>
      </c>
      <c r="B72" s="18" t="s">
        <v>351</v>
      </c>
      <c r="C72" s="18" t="s">
        <v>43</v>
      </c>
      <c r="D72" s="18" t="s">
        <v>43</v>
      </c>
      <c r="E72" s="18" t="s">
        <v>43</v>
      </c>
      <c r="F72" s="18" t="s">
        <v>215</v>
      </c>
      <c r="G72" s="18" t="s">
        <v>352</v>
      </c>
      <c r="H72" s="18" t="s">
        <v>353</v>
      </c>
      <c r="I72" s="19" t="s">
        <v>33</v>
      </c>
      <c r="J72" s="18" t="s">
        <v>354</v>
      </c>
      <c r="K72" s="18" t="s">
        <v>355</v>
      </c>
      <c r="L72" s="18"/>
      <c r="M72" s="18"/>
      <c r="N72" s="20"/>
      <c r="O72" s="20" t="s">
        <v>356</v>
      </c>
    </row>
    <row r="73" spans="1:15" x14ac:dyDescent="0.25">
      <c r="A73" s="13" t="s">
        <v>357</v>
      </c>
      <c r="B73" s="14" t="s">
        <v>270</v>
      </c>
      <c r="C73" s="14" t="s">
        <v>43</v>
      </c>
      <c r="D73" s="14" t="s">
        <v>43</v>
      </c>
      <c r="E73" s="14" t="s">
        <v>43</v>
      </c>
      <c r="F73" s="14" t="s">
        <v>215</v>
      </c>
      <c r="G73" s="14" t="s">
        <v>271</v>
      </c>
      <c r="H73" s="14" t="s">
        <v>272</v>
      </c>
      <c r="I73" s="15" t="s">
        <v>33</v>
      </c>
      <c r="J73" s="14" t="s">
        <v>108</v>
      </c>
      <c r="K73" s="14" t="s">
        <v>109</v>
      </c>
      <c r="L73" s="14"/>
      <c r="M73" s="14"/>
      <c r="N73" s="16"/>
      <c r="O73" s="16"/>
    </row>
    <row r="74" spans="1:15" x14ac:dyDescent="0.25">
      <c r="A74" s="17" t="s">
        <v>358</v>
      </c>
      <c r="B74" s="18" t="s">
        <v>359</v>
      </c>
      <c r="C74" s="18" t="s">
        <v>43</v>
      </c>
      <c r="D74" s="18" t="s">
        <v>43</v>
      </c>
      <c r="E74" s="18" t="s">
        <v>43</v>
      </c>
      <c r="F74" s="18" t="s">
        <v>215</v>
      </c>
      <c r="G74" s="18" t="s">
        <v>271</v>
      </c>
      <c r="H74" s="18" t="s">
        <v>272</v>
      </c>
      <c r="I74" s="19" t="s">
        <v>33</v>
      </c>
      <c r="J74" s="18" t="s">
        <v>108</v>
      </c>
      <c r="K74" s="18" t="s">
        <v>109</v>
      </c>
      <c r="L74" s="18"/>
      <c r="M74" s="18" t="s">
        <v>279</v>
      </c>
      <c r="N74" s="20"/>
      <c r="O74" s="20" t="s">
        <v>360</v>
      </c>
    </row>
    <row r="75" spans="1:15" ht="25.5" x14ac:dyDescent="0.25">
      <c r="A75" s="13" t="s">
        <v>361</v>
      </c>
      <c r="B75" s="14" t="s">
        <v>362</v>
      </c>
      <c r="C75" s="14" t="s">
        <v>43</v>
      </c>
      <c r="D75" s="14" t="s">
        <v>43</v>
      </c>
      <c r="E75" s="14" t="s">
        <v>43</v>
      </c>
      <c r="F75" s="14" t="s">
        <v>215</v>
      </c>
      <c r="G75" s="14" t="s">
        <v>352</v>
      </c>
      <c r="H75" s="14" t="s">
        <v>353</v>
      </c>
      <c r="I75" s="15" t="s">
        <v>33</v>
      </c>
      <c r="J75" s="14" t="s">
        <v>363</v>
      </c>
      <c r="K75" s="14" t="s">
        <v>355</v>
      </c>
      <c r="L75" s="14"/>
      <c r="M75" s="14"/>
      <c r="N75" s="16"/>
      <c r="O75" s="16" t="s">
        <v>364</v>
      </c>
    </row>
    <row r="76" spans="1:15" x14ac:dyDescent="0.25">
      <c r="A76" s="17" t="s">
        <v>365</v>
      </c>
      <c r="B76" s="18" t="s">
        <v>275</v>
      </c>
      <c r="C76" s="18" t="s">
        <v>43</v>
      </c>
      <c r="D76" s="18" t="s">
        <v>43</v>
      </c>
      <c r="E76" s="18" t="s">
        <v>43</v>
      </c>
      <c r="F76" s="18" t="s">
        <v>215</v>
      </c>
      <c r="G76" s="18" t="s">
        <v>348</v>
      </c>
      <c r="H76" s="18" t="s">
        <v>349</v>
      </c>
      <c r="I76" s="19" t="s">
        <v>33</v>
      </c>
      <c r="J76" s="18" t="s">
        <v>108</v>
      </c>
      <c r="K76" s="18" t="s">
        <v>109</v>
      </c>
      <c r="L76" s="18"/>
      <c r="M76" s="18"/>
      <c r="N76" s="20"/>
      <c r="O76" s="20"/>
    </row>
    <row r="77" spans="1:15" x14ac:dyDescent="0.25">
      <c r="A77" s="13" t="s">
        <v>366</v>
      </c>
      <c r="B77" s="14" t="s">
        <v>278</v>
      </c>
      <c r="C77" s="14" t="s">
        <v>43</v>
      </c>
      <c r="D77" s="14" t="s">
        <v>43</v>
      </c>
      <c r="E77" s="14" t="s">
        <v>43</v>
      </c>
      <c r="F77" s="14" t="s">
        <v>215</v>
      </c>
      <c r="G77" s="14" t="s">
        <v>348</v>
      </c>
      <c r="H77" s="14" t="s">
        <v>349</v>
      </c>
      <c r="I77" s="15" t="s">
        <v>33</v>
      </c>
      <c r="J77" s="14" t="s">
        <v>108</v>
      </c>
      <c r="K77" s="14" t="s">
        <v>109</v>
      </c>
      <c r="L77" s="14"/>
      <c r="M77" s="14" t="s">
        <v>279</v>
      </c>
      <c r="N77" s="16"/>
      <c r="O77" s="16"/>
    </row>
    <row r="78" spans="1:15" x14ac:dyDescent="0.25">
      <c r="A78" s="17" t="s">
        <v>367</v>
      </c>
      <c r="B78" s="18" t="s">
        <v>368</v>
      </c>
      <c r="C78" s="18" t="s">
        <v>43</v>
      </c>
      <c r="D78" s="18" t="s">
        <v>43</v>
      </c>
      <c r="E78" s="18" t="s">
        <v>43</v>
      </c>
      <c r="F78" s="18" t="s">
        <v>215</v>
      </c>
      <c r="G78" s="18" t="s">
        <v>348</v>
      </c>
      <c r="H78" s="18" t="s">
        <v>349</v>
      </c>
      <c r="I78" s="19" t="s">
        <v>33</v>
      </c>
      <c r="J78" s="18" t="s">
        <v>108</v>
      </c>
      <c r="K78" s="18" t="s">
        <v>109</v>
      </c>
      <c r="L78" s="18"/>
      <c r="M78" s="18"/>
      <c r="N78" s="20"/>
      <c r="O78" s="20"/>
    </row>
    <row r="79" spans="1:15" x14ac:dyDescent="0.25">
      <c r="A79" s="13" t="s">
        <v>369</v>
      </c>
      <c r="B79" s="14" t="s">
        <v>370</v>
      </c>
      <c r="C79" s="14" t="s">
        <v>43</v>
      </c>
      <c r="D79" s="14" t="s">
        <v>43</v>
      </c>
      <c r="E79" s="14" t="s">
        <v>43</v>
      </c>
      <c r="F79" s="14" t="s">
        <v>215</v>
      </c>
      <c r="G79" s="14" t="s">
        <v>348</v>
      </c>
      <c r="H79" s="14" t="s">
        <v>349</v>
      </c>
      <c r="I79" s="15" t="s">
        <v>33</v>
      </c>
      <c r="J79" s="14" t="s">
        <v>108</v>
      </c>
      <c r="K79" s="14" t="s">
        <v>109</v>
      </c>
      <c r="L79" s="14"/>
      <c r="M79" s="14" t="s">
        <v>287</v>
      </c>
      <c r="N79" s="16"/>
      <c r="O79" s="16"/>
    </row>
    <row r="80" spans="1:15" x14ac:dyDescent="0.25">
      <c r="A80" s="17" t="s">
        <v>371</v>
      </c>
      <c r="B80" s="18" t="s">
        <v>372</v>
      </c>
      <c r="C80" s="18" t="s">
        <v>43</v>
      </c>
      <c r="D80" s="18" t="s">
        <v>47</v>
      </c>
      <c r="E80" s="18" t="s">
        <v>40</v>
      </c>
      <c r="F80" s="18" t="s">
        <v>98</v>
      </c>
      <c r="G80" s="18" t="s">
        <v>251</v>
      </c>
      <c r="H80" s="18" t="s">
        <v>252</v>
      </c>
      <c r="I80" s="19" t="s">
        <v>33</v>
      </c>
      <c r="J80" s="18" t="s">
        <v>108</v>
      </c>
      <c r="K80" s="18" t="s">
        <v>109</v>
      </c>
      <c r="L80" s="18"/>
      <c r="M80" s="18"/>
      <c r="N80" s="20"/>
      <c r="O80" s="20"/>
    </row>
    <row r="81" spans="1:15" x14ac:dyDescent="0.25">
      <c r="A81" s="13" t="s">
        <v>373</v>
      </c>
      <c r="B81" s="14" t="s">
        <v>374</v>
      </c>
      <c r="C81" s="14" t="s">
        <v>43</v>
      </c>
      <c r="D81" s="14" t="s">
        <v>47</v>
      </c>
      <c r="E81" s="14" t="s">
        <v>40</v>
      </c>
      <c r="F81" s="14" t="s">
        <v>98</v>
      </c>
      <c r="G81" s="14" t="s">
        <v>243</v>
      </c>
      <c r="H81" s="14" t="s">
        <v>244</v>
      </c>
      <c r="I81" s="15" t="s">
        <v>33</v>
      </c>
      <c r="J81" s="14" t="s">
        <v>245</v>
      </c>
      <c r="K81" s="14" t="s">
        <v>46</v>
      </c>
      <c r="L81" s="14"/>
      <c r="M81" s="14" t="s">
        <v>246</v>
      </c>
      <c r="N81" s="16"/>
      <c r="O81" s="16"/>
    </row>
    <row r="82" spans="1:15" ht="25.5" x14ac:dyDescent="0.25">
      <c r="A82" s="17" t="s">
        <v>375</v>
      </c>
      <c r="B82" s="18" t="s">
        <v>376</v>
      </c>
      <c r="C82" s="18" t="s">
        <v>43</v>
      </c>
      <c r="D82" s="18" t="s">
        <v>43</v>
      </c>
      <c r="E82" s="18" t="s">
        <v>43</v>
      </c>
      <c r="F82" s="18" t="s">
        <v>215</v>
      </c>
      <c r="G82" s="18"/>
      <c r="H82" s="18"/>
      <c r="I82" s="19" t="s">
        <v>33</v>
      </c>
      <c r="J82" s="18" t="s">
        <v>108</v>
      </c>
      <c r="K82" s="18" t="s">
        <v>109</v>
      </c>
      <c r="L82" s="18"/>
      <c r="M82" s="18"/>
      <c r="N82" s="20"/>
      <c r="O82" s="20" t="s">
        <v>377</v>
      </c>
    </row>
    <row r="83" spans="1:15" ht="25.5" x14ac:dyDescent="0.25">
      <c r="A83" s="13" t="s">
        <v>378</v>
      </c>
      <c r="B83" s="14" t="s">
        <v>379</v>
      </c>
      <c r="C83" s="14" t="s">
        <v>43</v>
      </c>
      <c r="D83" s="14" t="s">
        <v>43</v>
      </c>
      <c r="E83" s="14" t="s">
        <v>43</v>
      </c>
      <c r="F83" s="14" t="s">
        <v>215</v>
      </c>
      <c r="G83" s="14" t="s">
        <v>352</v>
      </c>
      <c r="H83" s="14" t="s">
        <v>353</v>
      </c>
      <c r="I83" s="15" t="s">
        <v>33</v>
      </c>
      <c r="J83" s="14" t="s">
        <v>380</v>
      </c>
      <c r="K83" s="14" t="s">
        <v>355</v>
      </c>
      <c r="L83" s="14"/>
      <c r="M83" s="14"/>
      <c r="N83" s="16"/>
      <c r="O83" s="16" t="s">
        <v>381</v>
      </c>
    </row>
    <row r="84" spans="1:15" x14ac:dyDescent="0.25">
      <c r="A84" s="17" t="s">
        <v>382</v>
      </c>
      <c r="B84" s="18" t="s">
        <v>383</v>
      </c>
      <c r="C84" s="18" t="s">
        <v>43</v>
      </c>
      <c r="D84" s="18" t="s">
        <v>43</v>
      </c>
      <c r="E84" s="18" t="s">
        <v>43</v>
      </c>
      <c r="F84" s="18" t="s">
        <v>215</v>
      </c>
      <c r="G84" s="18" t="s">
        <v>348</v>
      </c>
      <c r="H84" s="18" t="s">
        <v>349</v>
      </c>
      <c r="I84" s="19" t="s">
        <v>33</v>
      </c>
      <c r="J84" s="18" t="s">
        <v>108</v>
      </c>
      <c r="K84" s="18" t="s">
        <v>109</v>
      </c>
      <c r="L84" s="18"/>
      <c r="M84" s="18"/>
      <c r="N84" s="20"/>
      <c r="O84" s="20"/>
    </row>
    <row r="85" spans="1:15" x14ac:dyDescent="0.25">
      <c r="A85" s="13" t="s">
        <v>384</v>
      </c>
      <c r="B85" s="14" t="s">
        <v>385</v>
      </c>
      <c r="C85" s="14" t="s">
        <v>43</v>
      </c>
      <c r="D85" s="14" t="s">
        <v>43</v>
      </c>
      <c r="E85" s="14" t="s">
        <v>43</v>
      </c>
      <c r="F85" s="14" t="s">
        <v>215</v>
      </c>
      <c r="G85" s="14" t="s">
        <v>352</v>
      </c>
      <c r="H85" s="14" t="s">
        <v>353</v>
      </c>
      <c r="I85" s="15" t="s">
        <v>33</v>
      </c>
      <c r="J85" s="14" t="s">
        <v>385</v>
      </c>
      <c r="K85" s="14" t="s">
        <v>355</v>
      </c>
      <c r="L85" s="14"/>
      <c r="M85" s="14"/>
      <c r="N85" s="16"/>
      <c r="O85" s="16"/>
    </row>
    <row r="86" spans="1:15" x14ac:dyDescent="0.25">
      <c r="A86" s="17" t="s">
        <v>386</v>
      </c>
      <c r="B86" s="18" t="s">
        <v>387</v>
      </c>
      <c r="C86" s="18" t="s">
        <v>43</v>
      </c>
      <c r="D86" s="18" t="s">
        <v>43</v>
      </c>
      <c r="E86" s="18" t="s">
        <v>43</v>
      </c>
      <c r="F86" s="18" t="s">
        <v>215</v>
      </c>
      <c r="G86" s="18" t="s">
        <v>348</v>
      </c>
      <c r="H86" s="18" t="s">
        <v>349</v>
      </c>
      <c r="I86" s="19" t="s">
        <v>33</v>
      </c>
      <c r="J86" s="18" t="s">
        <v>108</v>
      </c>
      <c r="K86" s="18" t="s">
        <v>109</v>
      </c>
      <c r="L86" s="18"/>
      <c r="M86" s="18"/>
      <c r="N86" s="20"/>
      <c r="O86" s="20"/>
    </row>
    <row r="87" spans="1:15" x14ac:dyDescent="0.25">
      <c r="A87" s="13" t="s">
        <v>388</v>
      </c>
      <c r="B87" s="14" t="s">
        <v>389</v>
      </c>
      <c r="C87" s="14" t="s">
        <v>43</v>
      </c>
      <c r="D87" s="14" t="s">
        <v>43</v>
      </c>
      <c r="E87" s="14" t="s">
        <v>43</v>
      </c>
      <c r="F87" s="14" t="s">
        <v>215</v>
      </c>
      <c r="G87" s="14" t="s">
        <v>352</v>
      </c>
      <c r="H87" s="14" t="s">
        <v>353</v>
      </c>
      <c r="I87" s="15" t="s">
        <v>33</v>
      </c>
      <c r="J87" s="14" t="s">
        <v>390</v>
      </c>
      <c r="K87" s="14" t="s">
        <v>355</v>
      </c>
      <c r="L87" s="14"/>
      <c r="M87" s="14"/>
      <c r="N87" s="16"/>
      <c r="O87" s="16"/>
    </row>
    <row r="88" spans="1:15" x14ac:dyDescent="0.25">
      <c r="A88" s="17" t="s">
        <v>391</v>
      </c>
      <c r="B88" s="18" t="s">
        <v>392</v>
      </c>
      <c r="C88" s="18" t="s">
        <v>43</v>
      </c>
      <c r="D88" s="18" t="s">
        <v>43</v>
      </c>
      <c r="E88" s="18" t="s">
        <v>43</v>
      </c>
      <c r="F88" s="18" t="s">
        <v>215</v>
      </c>
      <c r="G88" s="18" t="s">
        <v>393</v>
      </c>
      <c r="H88" s="18" t="s">
        <v>394</v>
      </c>
      <c r="I88" s="19" t="s">
        <v>33</v>
      </c>
      <c r="J88" s="18" t="s">
        <v>108</v>
      </c>
      <c r="K88" s="18" t="s">
        <v>109</v>
      </c>
      <c r="L88" s="18"/>
      <c r="M88" s="18" t="s">
        <v>279</v>
      </c>
      <c r="N88" s="20"/>
      <c r="O88" s="20" t="s">
        <v>395</v>
      </c>
    </row>
    <row r="89" spans="1:15" x14ac:dyDescent="0.25">
      <c r="A89" s="13" t="s">
        <v>396</v>
      </c>
      <c r="B89" s="14" t="s">
        <v>397</v>
      </c>
      <c r="C89" s="14" t="s">
        <v>43</v>
      </c>
      <c r="D89" s="14" t="s">
        <v>43</v>
      </c>
      <c r="E89" s="14" t="s">
        <v>43</v>
      </c>
      <c r="F89" s="14" t="s">
        <v>215</v>
      </c>
      <c r="G89" s="14"/>
      <c r="H89" s="14"/>
      <c r="I89" s="15" t="s">
        <v>33</v>
      </c>
      <c r="J89" s="14" t="s">
        <v>108</v>
      </c>
      <c r="K89" s="14" t="s">
        <v>109</v>
      </c>
      <c r="L89" s="14"/>
      <c r="M89" s="14"/>
      <c r="N89" s="16"/>
      <c r="O89" s="16"/>
    </row>
    <row r="90" spans="1:15" x14ac:dyDescent="0.25">
      <c r="A90" s="17" t="s">
        <v>398</v>
      </c>
      <c r="B90" s="18" t="s">
        <v>399</v>
      </c>
      <c r="C90" s="18" t="s">
        <v>43</v>
      </c>
      <c r="D90" s="18" t="s">
        <v>43</v>
      </c>
      <c r="E90" s="18" t="s">
        <v>43</v>
      </c>
      <c r="F90" s="18" t="s">
        <v>215</v>
      </c>
      <c r="G90" s="18"/>
      <c r="H90" s="18"/>
      <c r="I90" s="19" t="s">
        <v>33</v>
      </c>
      <c r="J90" s="18" t="s">
        <v>108</v>
      </c>
      <c r="K90" s="18" t="s">
        <v>109</v>
      </c>
      <c r="L90" s="18"/>
      <c r="M90" s="18"/>
      <c r="N90" s="20"/>
      <c r="O90" s="20"/>
    </row>
    <row r="91" spans="1:15" x14ac:dyDescent="0.25">
      <c r="A91" s="13" t="s">
        <v>400</v>
      </c>
      <c r="B91" s="14" t="s">
        <v>401</v>
      </c>
      <c r="C91" s="14" t="s">
        <v>43</v>
      </c>
      <c r="D91" s="14" t="s">
        <v>43</v>
      </c>
      <c r="E91" s="14" t="s">
        <v>43</v>
      </c>
      <c r="F91" s="14" t="s">
        <v>215</v>
      </c>
      <c r="G91" s="14"/>
      <c r="H91" s="14"/>
      <c r="I91" s="15" t="s">
        <v>33</v>
      </c>
      <c r="J91" s="14" t="s">
        <v>108</v>
      </c>
      <c r="K91" s="14" t="s">
        <v>109</v>
      </c>
      <c r="L91" s="14"/>
      <c r="M91" s="14"/>
      <c r="N91" s="16"/>
      <c r="O91" s="16"/>
    </row>
    <row r="92" spans="1:15" x14ac:dyDescent="0.25">
      <c r="A92" s="17" t="s">
        <v>402</v>
      </c>
      <c r="B92" s="18" t="s">
        <v>403</v>
      </c>
      <c r="C92" s="18" t="s">
        <v>43</v>
      </c>
      <c r="D92" s="18" t="s">
        <v>43</v>
      </c>
      <c r="E92" s="18" t="s">
        <v>43</v>
      </c>
      <c r="F92" s="18" t="s">
        <v>215</v>
      </c>
      <c r="G92" s="18"/>
      <c r="H92" s="18"/>
      <c r="I92" s="19" t="s">
        <v>33</v>
      </c>
      <c r="J92" s="18" t="s">
        <v>108</v>
      </c>
      <c r="K92" s="18" t="s">
        <v>109</v>
      </c>
      <c r="L92" s="18"/>
      <c r="M92" s="18"/>
      <c r="N92" s="20"/>
      <c r="O92" s="20"/>
    </row>
    <row r="93" spans="1:15" ht="38.25" x14ac:dyDescent="0.25">
      <c r="A93" s="13" t="s">
        <v>404</v>
      </c>
      <c r="B93" s="14" t="s">
        <v>218</v>
      </c>
      <c r="C93" s="14" t="s">
        <v>43</v>
      </c>
      <c r="D93" s="14" t="s">
        <v>43</v>
      </c>
      <c r="E93" s="14" t="s">
        <v>43</v>
      </c>
      <c r="F93" s="14" t="s">
        <v>215</v>
      </c>
      <c r="G93" s="14" t="s">
        <v>352</v>
      </c>
      <c r="H93" s="14" t="s">
        <v>353</v>
      </c>
      <c r="I93" s="15" t="s">
        <v>33</v>
      </c>
      <c r="J93" s="14" t="s">
        <v>405</v>
      </c>
      <c r="K93" s="14" t="s">
        <v>355</v>
      </c>
      <c r="L93" s="14"/>
      <c r="M93" s="14"/>
      <c r="N93" s="16"/>
      <c r="O93" s="16" t="s">
        <v>406</v>
      </c>
    </row>
    <row r="94" spans="1:15" ht="38.25" x14ac:dyDescent="0.25">
      <c r="A94" s="17" t="s">
        <v>407</v>
      </c>
      <c r="B94" s="18" t="s">
        <v>408</v>
      </c>
      <c r="C94" s="18" t="s">
        <v>43</v>
      </c>
      <c r="D94" s="18" t="s">
        <v>43</v>
      </c>
      <c r="E94" s="18" t="s">
        <v>41</v>
      </c>
      <c r="F94" s="18" t="s">
        <v>215</v>
      </c>
      <c r="G94" s="18"/>
      <c r="H94" s="18"/>
      <c r="I94" s="19" t="s">
        <v>33</v>
      </c>
      <c r="J94" s="18" t="s">
        <v>108</v>
      </c>
      <c r="K94" s="18" t="s">
        <v>109</v>
      </c>
      <c r="L94" s="18"/>
      <c r="M94" s="18"/>
      <c r="N94" s="20" t="s">
        <v>409</v>
      </c>
      <c r="O94" s="20"/>
    </row>
    <row r="95" spans="1:15" ht="63.75" x14ac:dyDescent="0.25">
      <c r="A95" s="13" t="s">
        <v>410</v>
      </c>
      <c r="B95" s="14" t="s">
        <v>411</v>
      </c>
      <c r="C95" s="14" t="s">
        <v>43</v>
      </c>
      <c r="D95" s="14" t="s">
        <v>48</v>
      </c>
      <c r="E95" s="14" t="s">
        <v>41</v>
      </c>
      <c r="F95" s="14" t="s">
        <v>215</v>
      </c>
      <c r="G95" s="14" t="s">
        <v>308</v>
      </c>
      <c r="H95" s="14" t="s">
        <v>309</v>
      </c>
      <c r="I95" s="15" t="s">
        <v>33</v>
      </c>
      <c r="J95" s="14" t="s">
        <v>108</v>
      </c>
      <c r="K95" s="14" t="s">
        <v>109</v>
      </c>
      <c r="L95" s="14"/>
      <c r="M95" s="14"/>
      <c r="N95" s="16" t="s">
        <v>412</v>
      </c>
      <c r="O95" s="16"/>
    </row>
    <row r="96" spans="1:15" ht="63.75" x14ac:dyDescent="0.25">
      <c r="A96" s="17" t="s">
        <v>413</v>
      </c>
      <c r="B96" s="18" t="s">
        <v>414</v>
      </c>
      <c r="C96" s="18" t="s">
        <v>43</v>
      </c>
      <c r="D96" s="18" t="s">
        <v>48</v>
      </c>
      <c r="E96" s="18" t="s">
        <v>41</v>
      </c>
      <c r="F96" s="18" t="s">
        <v>215</v>
      </c>
      <c r="G96" s="18" t="s">
        <v>308</v>
      </c>
      <c r="H96" s="18" t="s">
        <v>309</v>
      </c>
      <c r="I96" s="19" t="s">
        <v>33</v>
      </c>
      <c r="J96" s="18" t="s">
        <v>108</v>
      </c>
      <c r="K96" s="18" t="s">
        <v>109</v>
      </c>
      <c r="L96" s="18"/>
      <c r="M96" s="18"/>
      <c r="N96" s="20" t="s">
        <v>412</v>
      </c>
      <c r="O96" s="20"/>
    </row>
    <row r="97" spans="1:15" ht="63.75" x14ac:dyDescent="0.25">
      <c r="A97" s="13" t="s">
        <v>415</v>
      </c>
      <c r="B97" s="14" t="s">
        <v>416</v>
      </c>
      <c r="C97" s="14" t="s">
        <v>43</v>
      </c>
      <c r="D97" s="14" t="s">
        <v>48</v>
      </c>
      <c r="E97" s="14" t="s">
        <v>41</v>
      </c>
      <c r="F97" s="14" t="s">
        <v>215</v>
      </c>
      <c r="G97" s="14" t="s">
        <v>308</v>
      </c>
      <c r="H97" s="14" t="s">
        <v>309</v>
      </c>
      <c r="I97" s="15" t="s">
        <v>33</v>
      </c>
      <c r="J97" s="14" t="s">
        <v>108</v>
      </c>
      <c r="K97" s="14" t="s">
        <v>109</v>
      </c>
      <c r="L97" s="14"/>
      <c r="M97" s="14"/>
      <c r="N97" s="16" t="s">
        <v>412</v>
      </c>
      <c r="O97" s="16"/>
    </row>
    <row r="98" spans="1:15" ht="63.75" x14ac:dyDescent="0.25">
      <c r="A98" s="17" t="s">
        <v>417</v>
      </c>
      <c r="B98" s="18" t="s">
        <v>418</v>
      </c>
      <c r="C98" s="18" t="s">
        <v>43</v>
      </c>
      <c r="D98" s="18" t="s">
        <v>48</v>
      </c>
      <c r="E98" s="18" t="s">
        <v>41</v>
      </c>
      <c r="F98" s="18" t="s">
        <v>215</v>
      </c>
      <c r="G98" s="18" t="s">
        <v>308</v>
      </c>
      <c r="H98" s="18" t="s">
        <v>309</v>
      </c>
      <c r="I98" s="19" t="s">
        <v>33</v>
      </c>
      <c r="J98" s="18" t="s">
        <v>108</v>
      </c>
      <c r="K98" s="18" t="s">
        <v>109</v>
      </c>
      <c r="L98" s="18"/>
      <c r="M98" s="18"/>
      <c r="N98" s="20" t="s">
        <v>412</v>
      </c>
      <c r="O98" s="20"/>
    </row>
    <row r="99" spans="1:15" ht="63.75" x14ac:dyDescent="0.25">
      <c r="A99" s="13" t="s">
        <v>419</v>
      </c>
      <c r="B99" s="14" t="s">
        <v>420</v>
      </c>
      <c r="C99" s="14" t="s">
        <v>43</v>
      </c>
      <c r="D99" s="14" t="s">
        <v>48</v>
      </c>
      <c r="E99" s="14" t="s">
        <v>41</v>
      </c>
      <c r="F99" s="14" t="s">
        <v>215</v>
      </c>
      <c r="G99" s="14" t="s">
        <v>308</v>
      </c>
      <c r="H99" s="14" t="s">
        <v>309</v>
      </c>
      <c r="I99" s="15" t="s">
        <v>33</v>
      </c>
      <c r="J99" s="14" t="s">
        <v>108</v>
      </c>
      <c r="K99" s="14" t="s">
        <v>109</v>
      </c>
      <c r="L99" s="14"/>
      <c r="M99" s="14"/>
      <c r="N99" s="16" t="s">
        <v>412</v>
      </c>
      <c r="O99" s="16" t="s">
        <v>421</v>
      </c>
    </row>
    <row r="100" spans="1:15" ht="63.75" x14ac:dyDescent="0.25">
      <c r="A100" s="17" t="s">
        <v>422</v>
      </c>
      <c r="B100" s="18" t="s">
        <v>423</v>
      </c>
      <c r="C100" s="18" t="s">
        <v>43</v>
      </c>
      <c r="D100" s="18" t="s">
        <v>48</v>
      </c>
      <c r="E100" s="18" t="s">
        <v>41</v>
      </c>
      <c r="F100" s="18" t="s">
        <v>215</v>
      </c>
      <c r="G100" s="18" t="s">
        <v>308</v>
      </c>
      <c r="H100" s="18" t="s">
        <v>309</v>
      </c>
      <c r="I100" s="19" t="s">
        <v>33</v>
      </c>
      <c r="J100" s="18" t="s">
        <v>108</v>
      </c>
      <c r="K100" s="18" t="s">
        <v>109</v>
      </c>
      <c r="L100" s="18"/>
      <c r="M100" s="18"/>
      <c r="N100" s="20" t="s">
        <v>412</v>
      </c>
      <c r="O100" s="20"/>
    </row>
    <row r="101" spans="1:15" ht="63.75" x14ac:dyDescent="0.25">
      <c r="A101" s="13" t="s">
        <v>424</v>
      </c>
      <c r="B101" s="14" t="s">
        <v>425</v>
      </c>
      <c r="C101" s="14" t="s">
        <v>43</v>
      </c>
      <c r="D101" s="14" t="s">
        <v>48</v>
      </c>
      <c r="E101" s="14" t="s">
        <v>41</v>
      </c>
      <c r="F101" s="14" t="s">
        <v>215</v>
      </c>
      <c r="G101" s="14" t="s">
        <v>308</v>
      </c>
      <c r="H101" s="14" t="s">
        <v>309</v>
      </c>
      <c r="I101" s="15" t="s">
        <v>33</v>
      </c>
      <c r="J101" s="14" t="s">
        <v>108</v>
      </c>
      <c r="K101" s="14" t="s">
        <v>109</v>
      </c>
      <c r="L101" s="14"/>
      <c r="M101" s="14"/>
      <c r="N101" s="16" t="s">
        <v>412</v>
      </c>
      <c r="O101" s="16"/>
    </row>
    <row r="102" spans="1:15" ht="63.75" x14ac:dyDescent="0.25">
      <c r="A102" s="17" t="s">
        <v>426</v>
      </c>
      <c r="B102" s="18" t="s">
        <v>427</v>
      </c>
      <c r="C102" s="18" t="s">
        <v>43</v>
      </c>
      <c r="D102" s="18" t="s">
        <v>48</v>
      </c>
      <c r="E102" s="18" t="s">
        <v>41</v>
      </c>
      <c r="F102" s="18" t="s">
        <v>215</v>
      </c>
      <c r="G102" s="18" t="s">
        <v>308</v>
      </c>
      <c r="H102" s="18" t="s">
        <v>309</v>
      </c>
      <c r="I102" s="19" t="s">
        <v>33</v>
      </c>
      <c r="J102" s="18" t="s">
        <v>108</v>
      </c>
      <c r="K102" s="18" t="s">
        <v>109</v>
      </c>
      <c r="L102" s="18"/>
      <c r="M102" s="18"/>
      <c r="N102" s="20" t="s">
        <v>412</v>
      </c>
      <c r="O102" s="20"/>
    </row>
    <row r="103" spans="1:15" ht="63.75" x14ac:dyDescent="0.25">
      <c r="A103" s="13" t="s">
        <v>428</v>
      </c>
      <c r="B103" s="14" t="s">
        <v>429</v>
      </c>
      <c r="C103" s="14" t="s">
        <v>43</v>
      </c>
      <c r="D103" s="14" t="s">
        <v>48</v>
      </c>
      <c r="E103" s="14" t="s">
        <v>41</v>
      </c>
      <c r="F103" s="14" t="s">
        <v>215</v>
      </c>
      <c r="G103" s="14" t="s">
        <v>308</v>
      </c>
      <c r="H103" s="14" t="s">
        <v>309</v>
      </c>
      <c r="I103" s="15" t="s">
        <v>33</v>
      </c>
      <c r="J103" s="14" t="s">
        <v>108</v>
      </c>
      <c r="K103" s="14" t="s">
        <v>109</v>
      </c>
      <c r="L103" s="14"/>
      <c r="M103" s="14"/>
      <c r="N103" s="16" t="s">
        <v>412</v>
      </c>
      <c r="O103" s="16"/>
    </row>
    <row r="104" spans="1:15" ht="63.75" x14ac:dyDescent="0.25">
      <c r="A104" s="17" t="s">
        <v>430</v>
      </c>
      <c r="B104" s="18" t="s">
        <v>431</v>
      </c>
      <c r="C104" s="18" t="s">
        <v>43</v>
      </c>
      <c r="D104" s="18" t="s">
        <v>48</v>
      </c>
      <c r="E104" s="18" t="s">
        <v>41</v>
      </c>
      <c r="F104" s="18" t="s">
        <v>215</v>
      </c>
      <c r="G104" s="18" t="s">
        <v>308</v>
      </c>
      <c r="H104" s="18" t="s">
        <v>309</v>
      </c>
      <c r="I104" s="19" t="s">
        <v>33</v>
      </c>
      <c r="J104" s="18" t="s">
        <v>108</v>
      </c>
      <c r="K104" s="18" t="s">
        <v>109</v>
      </c>
      <c r="L104" s="18"/>
      <c r="M104" s="18"/>
      <c r="N104" s="20" t="s">
        <v>412</v>
      </c>
      <c r="O104" s="20"/>
    </row>
    <row r="105" spans="1:15" ht="63.75" x14ac:dyDescent="0.25">
      <c r="A105" s="13" t="s">
        <v>432</v>
      </c>
      <c r="B105" s="14" t="s">
        <v>433</v>
      </c>
      <c r="C105" s="14" t="s">
        <v>43</v>
      </c>
      <c r="D105" s="14" t="s">
        <v>48</v>
      </c>
      <c r="E105" s="14" t="s">
        <v>41</v>
      </c>
      <c r="F105" s="14" t="s">
        <v>215</v>
      </c>
      <c r="G105" s="14" t="s">
        <v>308</v>
      </c>
      <c r="H105" s="14" t="s">
        <v>309</v>
      </c>
      <c r="I105" s="15" t="s">
        <v>33</v>
      </c>
      <c r="J105" s="14" t="s">
        <v>108</v>
      </c>
      <c r="K105" s="14" t="s">
        <v>109</v>
      </c>
      <c r="L105" s="14"/>
      <c r="M105" s="14"/>
      <c r="N105" s="16" t="s">
        <v>412</v>
      </c>
      <c r="O105" s="16"/>
    </row>
    <row r="106" spans="1:15" ht="63.75" x14ac:dyDescent="0.25">
      <c r="A106" s="17" t="s">
        <v>434</v>
      </c>
      <c r="B106" s="18" t="s">
        <v>435</v>
      </c>
      <c r="C106" s="18" t="s">
        <v>43</v>
      </c>
      <c r="D106" s="18" t="s">
        <v>48</v>
      </c>
      <c r="E106" s="18" t="s">
        <v>41</v>
      </c>
      <c r="F106" s="18" t="s">
        <v>215</v>
      </c>
      <c r="G106" s="18" t="s">
        <v>308</v>
      </c>
      <c r="H106" s="18" t="s">
        <v>309</v>
      </c>
      <c r="I106" s="19" t="s">
        <v>33</v>
      </c>
      <c r="J106" s="18" t="s">
        <v>108</v>
      </c>
      <c r="K106" s="18" t="s">
        <v>109</v>
      </c>
      <c r="L106" s="18"/>
      <c r="M106" s="18"/>
      <c r="N106" s="20" t="s">
        <v>412</v>
      </c>
      <c r="O106" s="20"/>
    </row>
    <row r="107" spans="1:15" ht="63.75" x14ac:dyDescent="0.25">
      <c r="A107" s="13" t="s">
        <v>436</v>
      </c>
      <c r="B107" s="14" t="s">
        <v>437</v>
      </c>
      <c r="C107" s="14" t="s">
        <v>43</v>
      </c>
      <c r="D107" s="14" t="s">
        <v>48</v>
      </c>
      <c r="E107" s="14" t="s">
        <v>41</v>
      </c>
      <c r="F107" s="14" t="s">
        <v>215</v>
      </c>
      <c r="G107" s="14" t="s">
        <v>308</v>
      </c>
      <c r="H107" s="14" t="s">
        <v>309</v>
      </c>
      <c r="I107" s="15" t="s">
        <v>33</v>
      </c>
      <c r="J107" s="14" t="s">
        <v>108</v>
      </c>
      <c r="K107" s="14" t="s">
        <v>109</v>
      </c>
      <c r="L107" s="14"/>
      <c r="M107" s="14"/>
      <c r="N107" s="16" t="s">
        <v>412</v>
      </c>
      <c r="O107" s="16"/>
    </row>
    <row r="108" spans="1:15" ht="63.75" x14ac:dyDescent="0.25">
      <c r="A108" s="17" t="s">
        <v>438</v>
      </c>
      <c r="B108" s="18" t="s">
        <v>439</v>
      </c>
      <c r="C108" s="18" t="s">
        <v>43</v>
      </c>
      <c r="D108" s="18" t="s">
        <v>48</v>
      </c>
      <c r="E108" s="18" t="s">
        <v>41</v>
      </c>
      <c r="F108" s="18" t="s">
        <v>215</v>
      </c>
      <c r="G108" s="18" t="s">
        <v>308</v>
      </c>
      <c r="H108" s="18" t="s">
        <v>309</v>
      </c>
      <c r="I108" s="19" t="s">
        <v>33</v>
      </c>
      <c r="J108" s="18" t="s">
        <v>108</v>
      </c>
      <c r="K108" s="18" t="s">
        <v>109</v>
      </c>
      <c r="L108" s="18"/>
      <c r="M108" s="18"/>
      <c r="N108" s="20" t="s">
        <v>412</v>
      </c>
      <c r="O108" s="20"/>
    </row>
    <row r="109" spans="1:15" ht="63.75" x14ac:dyDescent="0.25">
      <c r="A109" s="13" t="s">
        <v>440</v>
      </c>
      <c r="B109" s="14" t="s">
        <v>441</v>
      </c>
      <c r="C109" s="14" t="s">
        <v>43</v>
      </c>
      <c r="D109" s="14" t="s">
        <v>48</v>
      </c>
      <c r="E109" s="14" t="s">
        <v>41</v>
      </c>
      <c r="F109" s="14" t="s">
        <v>215</v>
      </c>
      <c r="G109" s="14" t="s">
        <v>308</v>
      </c>
      <c r="H109" s="14" t="s">
        <v>309</v>
      </c>
      <c r="I109" s="15" t="s">
        <v>33</v>
      </c>
      <c r="J109" s="14" t="s">
        <v>108</v>
      </c>
      <c r="K109" s="14" t="s">
        <v>109</v>
      </c>
      <c r="L109" s="14"/>
      <c r="M109" s="14"/>
      <c r="N109" s="16" t="s">
        <v>412</v>
      </c>
      <c r="O109" s="16"/>
    </row>
    <row r="110" spans="1:15" ht="63.75" x14ac:dyDescent="0.25">
      <c r="A110" s="17" t="s">
        <v>442</v>
      </c>
      <c r="B110" s="18" t="s">
        <v>443</v>
      </c>
      <c r="C110" s="18" t="s">
        <v>43</v>
      </c>
      <c r="D110" s="18" t="s">
        <v>48</v>
      </c>
      <c r="E110" s="18" t="s">
        <v>41</v>
      </c>
      <c r="F110" s="18" t="s">
        <v>215</v>
      </c>
      <c r="G110" s="18" t="s">
        <v>308</v>
      </c>
      <c r="H110" s="18" t="s">
        <v>309</v>
      </c>
      <c r="I110" s="19" t="s">
        <v>33</v>
      </c>
      <c r="J110" s="18" t="s">
        <v>108</v>
      </c>
      <c r="K110" s="18" t="s">
        <v>109</v>
      </c>
      <c r="L110" s="18"/>
      <c r="M110" s="18"/>
      <c r="N110" s="20" t="s">
        <v>412</v>
      </c>
      <c r="O110" s="20"/>
    </row>
    <row r="111" spans="1:15" x14ac:dyDescent="0.25">
      <c r="A111" s="13" t="s">
        <v>444</v>
      </c>
      <c r="B111" s="14" t="s">
        <v>445</v>
      </c>
      <c r="C111" s="14" t="s">
        <v>50</v>
      </c>
      <c r="D111" s="14" t="s">
        <v>50</v>
      </c>
      <c r="E111" s="14" t="s">
        <v>44</v>
      </c>
      <c r="F111" s="14" t="s">
        <v>215</v>
      </c>
      <c r="G111" s="14"/>
      <c r="H111" s="14"/>
      <c r="I111" s="15" t="s">
        <v>33</v>
      </c>
      <c r="J111" s="14" t="s">
        <v>108</v>
      </c>
      <c r="K111" s="14" t="s">
        <v>109</v>
      </c>
      <c r="L111" s="14" t="s">
        <v>446</v>
      </c>
      <c r="M111" s="14"/>
      <c r="N111" s="16"/>
      <c r="O111" s="16"/>
    </row>
    <row r="112" spans="1:15" x14ac:dyDescent="0.25">
      <c r="A112" s="17" t="s">
        <v>447</v>
      </c>
      <c r="B112" s="18" t="s">
        <v>448</v>
      </c>
      <c r="C112" s="18" t="s">
        <v>50</v>
      </c>
      <c r="D112" s="18" t="s">
        <v>50</v>
      </c>
      <c r="E112" s="18" t="s">
        <v>44</v>
      </c>
      <c r="F112" s="18" t="s">
        <v>215</v>
      </c>
      <c r="G112" s="18"/>
      <c r="H112" s="18"/>
      <c r="I112" s="19" t="s">
        <v>33</v>
      </c>
      <c r="J112" s="18" t="s">
        <v>108</v>
      </c>
      <c r="K112" s="18" t="s">
        <v>109</v>
      </c>
      <c r="L112" s="18" t="s">
        <v>449</v>
      </c>
      <c r="M112" s="18"/>
      <c r="N112" s="20"/>
      <c r="O112" s="20"/>
    </row>
    <row r="113" spans="1:15" x14ac:dyDescent="0.25">
      <c r="A113" s="13" t="s">
        <v>450</v>
      </c>
      <c r="B113" s="14" t="s">
        <v>451</v>
      </c>
      <c r="C113" s="14" t="s">
        <v>50</v>
      </c>
      <c r="D113" s="14" t="s">
        <v>50</v>
      </c>
      <c r="E113" s="14" t="s">
        <v>44</v>
      </c>
      <c r="F113" s="14" t="s">
        <v>215</v>
      </c>
      <c r="G113" s="14"/>
      <c r="H113" s="14"/>
      <c r="I113" s="15" t="s">
        <v>33</v>
      </c>
      <c r="J113" s="14" t="s">
        <v>108</v>
      </c>
      <c r="K113" s="14" t="s">
        <v>109</v>
      </c>
      <c r="L113" s="14" t="s">
        <v>449</v>
      </c>
      <c r="M113" s="14"/>
      <c r="N113" s="16"/>
      <c r="O113" s="16"/>
    </row>
    <row r="114" spans="1:15" x14ac:dyDescent="0.25">
      <c r="A114" s="17" t="s">
        <v>452</v>
      </c>
      <c r="B114" s="18" t="s">
        <v>453</v>
      </c>
      <c r="C114" s="18" t="s">
        <v>50</v>
      </c>
      <c r="D114" s="18" t="s">
        <v>50</v>
      </c>
      <c r="E114" s="18" t="s">
        <v>44</v>
      </c>
      <c r="F114" s="18" t="s">
        <v>215</v>
      </c>
      <c r="G114" s="18"/>
      <c r="H114" s="18"/>
      <c r="I114" s="19" t="s">
        <v>33</v>
      </c>
      <c r="J114" s="18" t="s">
        <v>108</v>
      </c>
      <c r="K114" s="18" t="s">
        <v>109</v>
      </c>
      <c r="L114" s="18" t="s">
        <v>454</v>
      </c>
      <c r="M114" s="18"/>
      <c r="N114" s="20"/>
      <c r="O114" s="20"/>
    </row>
    <row r="115" spans="1:15" x14ac:dyDescent="0.25">
      <c r="A115" s="13" t="s">
        <v>455</v>
      </c>
      <c r="B115" s="14" t="s">
        <v>456</v>
      </c>
      <c r="C115" s="14" t="s">
        <v>50</v>
      </c>
      <c r="D115" s="14" t="s">
        <v>50</v>
      </c>
      <c r="E115" s="14" t="s">
        <v>44</v>
      </c>
      <c r="F115" s="14" t="s">
        <v>215</v>
      </c>
      <c r="G115" s="14"/>
      <c r="H115" s="14"/>
      <c r="I115" s="15" t="s">
        <v>33</v>
      </c>
      <c r="J115" s="14" t="s">
        <v>108</v>
      </c>
      <c r="K115" s="14" t="s">
        <v>109</v>
      </c>
      <c r="L115" s="14" t="s">
        <v>300</v>
      </c>
      <c r="M115" s="14"/>
      <c r="N115" s="16"/>
      <c r="O115" s="16"/>
    </row>
    <row r="116" spans="1:15" x14ac:dyDescent="0.25">
      <c r="A116" s="17" t="s">
        <v>457</v>
      </c>
      <c r="B116" s="18" t="s">
        <v>458</v>
      </c>
      <c r="C116" s="18" t="s">
        <v>50</v>
      </c>
      <c r="D116" s="18" t="s">
        <v>50</v>
      </c>
      <c r="E116" s="18" t="s">
        <v>44</v>
      </c>
      <c r="F116" s="18" t="s">
        <v>215</v>
      </c>
      <c r="G116" s="18"/>
      <c r="H116" s="18"/>
      <c r="I116" s="19" t="s">
        <v>33</v>
      </c>
      <c r="J116" s="18" t="s">
        <v>108</v>
      </c>
      <c r="K116" s="18" t="s">
        <v>109</v>
      </c>
      <c r="L116" s="18" t="s">
        <v>459</v>
      </c>
      <c r="M116" s="18"/>
      <c r="N116" s="20"/>
      <c r="O116" s="20"/>
    </row>
    <row r="117" spans="1:15" x14ac:dyDescent="0.25">
      <c r="A117" s="13" t="s">
        <v>460</v>
      </c>
      <c r="B117" s="14" t="s">
        <v>461</v>
      </c>
      <c r="C117" s="14" t="s">
        <v>50</v>
      </c>
      <c r="D117" s="14" t="s">
        <v>50</v>
      </c>
      <c r="E117" s="14" t="s">
        <v>44</v>
      </c>
      <c r="F117" s="14" t="s">
        <v>215</v>
      </c>
      <c r="G117" s="14"/>
      <c r="H117" s="14"/>
      <c r="I117" s="15" t="s">
        <v>33</v>
      </c>
      <c r="J117" s="14" t="s">
        <v>108</v>
      </c>
      <c r="K117" s="14" t="s">
        <v>109</v>
      </c>
      <c r="L117" s="14" t="s">
        <v>462</v>
      </c>
      <c r="M117" s="14"/>
      <c r="N117" s="16"/>
      <c r="O117" s="16"/>
    </row>
    <row r="118" spans="1:15" x14ac:dyDescent="0.25">
      <c r="A118" s="17" t="s">
        <v>463</v>
      </c>
      <c r="B118" s="18" t="s">
        <v>464</v>
      </c>
      <c r="C118" s="18" t="s">
        <v>50</v>
      </c>
      <c r="D118" s="18" t="s">
        <v>50</v>
      </c>
      <c r="E118" s="18" t="s">
        <v>44</v>
      </c>
      <c r="F118" s="18" t="s">
        <v>215</v>
      </c>
      <c r="G118" s="18"/>
      <c r="H118" s="18"/>
      <c r="I118" s="19" t="s">
        <v>33</v>
      </c>
      <c r="J118" s="18" t="s">
        <v>108</v>
      </c>
      <c r="K118" s="18" t="s">
        <v>109</v>
      </c>
      <c r="L118" s="18" t="s">
        <v>300</v>
      </c>
      <c r="M118" s="18"/>
      <c r="N118" s="20"/>
      <c r="O118" s="20"/>
    </row>
    <row r="119" spans="1:15" ht="25.5" x14ac:dyDescent="0.25">
      <c r="A119" s="13" t="s">
        <v>465</v>
      </c>
      <c r="B119" s="14" t="s">
        <v>466</v>
      </c>
      <c r="C119" s="14" t="s">
        <v>50</v>
      </c>
      <c r="D119" s="14" t="s">
        <v>50</v>
      </c>
      <c r="E119" s="14" t="s">
        <v>44</v>
      </c>
      <c r="F119" s="14" t="s">
        <v>215</v>
      </c>
      <c r="G119" s="14" t="s">
        <v>467</v>
      </c>
      <c r="H119" s="14" t="s">
        <v>468</v>
      </c>
      <c r="I119" s="15" t="s">
        <v>33</v>
      </c>
      <c r="J119" s="14" t="s">
        <v>469</v>
      </c>
      <c r="K119" s="14" t="s">
        <v>470</v>
      </c>
      <c r="L119" s="14" t="s">
        <v>471</v>
      </c>
      <c r="M119" s="14"/>
      <c r="N119" s="16"/>
      <c r="O119" s="16" t="s">
        <v>472</v>
      </c>
    </row>
    <row r="120" spans="1:15" ht="38.25" x14ac:dyDescent="0.25">
      <c r="A120" s="17" t="s">
        <v>473</v>
      </c>
      <c r="B120" s="18" t="s">
        <v>474</v>
      </c>
      <c r="C120" s="18" t="s">
        <v>50</v>
      </c>
      <c r="D120" s="18" t="s">
        <v>50</v>
      </c>
      <c r="E120" s="18" t="s">
        <v>44</v>
      </c>
      <c r="F120" s="18" t="s">
        <v>215</v>
      </c>
      <c r="G120" s="18"/>
      <c r="H120" s="18"/>
      <c r="I120" s="19" t="s">
        <v>33</v>
      </c>
      <c r="J120" s="18" t="s">
        <v>108</v>
      </c>
      <c r="K120" s="18" t="s">
        <v>109</v>
      </c>
      <c r="L120" s="18" t="s">
        <v>475</v>
      </c>
      <c r="M120" s="18"/>
      <c r="N120" s="20"/>
      <c r="O120" s="20" t="s">
        <v>476</v>
      </c>
    </row>
    <row r="121" spans="1:15" x14ac:dyDescent="0.25">
      <c r="A121" s="13" t="s">
        <v>477</v>
      </c>
      <c r="B121" s="14" t="s">
        <v>478</v>
      </c>
      <c r="C121" s="14" t="s">
        <v>50</v>
      </c>
      <c r="D121" s="14" t="s">
        <v>50</v>
      </c>
      <c r="E121" s="14" t="s">
        <v>44</v>
      </c>
      <c r="F121" s="14" t="s">
        <v>215</v>
      </c>
      <c r="G121" s="14"/>
      <c r="H121" s="14"/>
      <c r="I121" s="15" t="s">
        <v>33</v>
      </c>
      <c r="J121" s="14" t="s">
        <v>108</v>
      </c>
      <c r="K121" s="14" t="s">
        <v>109</v>
      </c>
      <c r="L121" s="14" t="s">
        <v>479</v>
      </c>
      <c r="M121" s="14"/>
      <c r="N121" s="16"/>
      <c r="O121" s="16"/>
    </row>
    <row r="122" spans="1:15" x14ac:dyDescent="0.25">
      <c r="A122" s="17" t="s">
        <v>480</v>
      </c>
      <c r="B122" s="18" t="s">
        <v>481</v>
      </c>
      <c r="C122" s="18" t="s">
        <v>50</v>
      </c>
      <c r="D122" s="18" t="s">
        <v>50</v>
      </c>
      <c r="E122" s="18" t="s">
        <v>44</v>
      </c>
      <c r="F122" s="18" t="s">
        <v>215</v>
      </c>
      <c r="G122" s="18"/>
      <c r="H122" s="18"/>
      <c r="I122" s="19" t="s">
        <v>33</v>
      </c>
      <c r="J122" s="18" t="s">
        <v>108</v>
      </c>
      <c r="K122" s="18" t="s">
        <v>109</v>
      </c>
      <c r="L122" s="18" t="s">
        <v>482</v>
      </c>
      <c r="M122" s="18"/>
      <c r="N122" s="20"/>
      <c r="O122" s="20"/>
    </row>
    <row r="123" spans="1:15" x14ac:dyDescent="0.25">
      <c r="A123" s="13" t="s">
        <v>483</v>
      </c>
      <c r="B123" s="14" t="s">
        <v>484</v>
      </c>
      <c r="C123" s="14" t="s">
        <v>50</v>
      </c>
      <c r="D123" s="14" t="s">
        <v>50</v>
      </c>
      <c r="E123" s="14" t="s">
        <v>44</v>
      </c>
      <c r="F123" s="14" t="s">
        <v>215</v>
      </c>
      <c r="G123" s="14"/>
      <c r="H123" s="14"/>
      <c r="I123" s="15" t="s">
        <v>33</v>
      </c>
      <c r="J123" s="14" t="s">
        <v>108</v>
      </c>
      <c r="K123" s="14" t="s">
        <v>109</v>
      </c>
      <c r="L123" s="14" t="s">
        <v>485</v>
      </c>
      <c r="M123" s="14"/>
      <c r="N123" s="16"/>
      <c r="O123" s="16"/>
    </row>
    <row r="124" spans="1:15" x14ac:dyDescent="0.25">
      <c r="A124" s="17" t="s">
        <v>486</v>
      </c>
      <c r="B124" s="18" t="s">
        <v>389</v>
      </c>
      <c r="C124" s="18" t="s">
        <v>50</v>
      </c>
      <c r="D124" s="18" t="s">
        <v>43</v>
      </c>
      <c r="E124" s="18" t="s">
        <v>43</v>
      </c>
      <c r="F124" s="18" t="s">
        <v>215</v>
      </c>
      <c r="G124" s="18" t="s">
        <v>393</v>
      </c>
      <c r="H124" s="18" t="s">
        <v>394</v>
      </c>
      <c r="I124" s="19" t="s">
        <v>33</v>
      </c>
      <c r="J124" s="18" t="s">
        <v>108</v>
      </c>
      <c r="K124" s="18" t="s">
        <v>109</v>
      </c>
      <c r="L124" s="18" t="s">
        <v>479</v>
      </c>
      <c r="M124" s="18"/>
      <c r="N124" s="20"/>
      <c r="O124" s="20"/>
    </row>
    <row r="125" spans="1:15" ht="25.5" x14ac:dyDescent="0.25">
      <c r="A125" s="13" t="s">
        <v>487</v>
      </c>
      <c r="B125" s="14" t="s">
        <v>488</v>
      </c>
      <c r="C125" s="14" t="s">
        <v>50</v>
      </c>
      <c r="D125" s="14" t="s">
        <v>43</v>
      </c>
      <c r="E125" s="14" t="s">
        <v>43</v>
      </c>
      <c r="F125" s="14" t="s">
        <v>215</v>
      </c>
      <c r="G125" s="14" t="s">
        <v>393</v>
      </c>
      <c r="H125" s="14" t="s">
        <v>394</v>
      </c>
      <c r="I125" s="15" t="s">
        <v>33</v>
      </c>
      <c r="J125" s="14" t="s">
        <v>108</v>
      </c>
      <c r="K125" s="14" t="s">
        <v>109</v>
      </c>
      <c r="L125" s="14" t="s">
        <v>489</v>
      </c>
      <c r="M125" s="14" t="s">
        <v>279</v>
      </c>
      <c r="N125" s="16"/>
      <c r="O125" s="16" t="s">
        <v>490</v>
      </c>
    </row>
    <row r="126" spans="1:15" x14ac:dyDescent="0.25">
      <c r="A126" s="17" t="s">
        <v>491</v>
      </c>
      <c r="B126" s="18" t="s">
        <v>492</v>
      </c>
      <c r="C126" s="18" t="s">
        <v>50</v>
      </c>
      <c r="D126" s="18" t="s">
        <v>50</v>
      </c>
      <c r="E126" s="18" t="s">
        <v>44</v>
      </c>
      <c r="F126" s="18" t="s">
        <v>215</v>
      </c>
      <c r="G126" s="18"/>
      <c r="H126" s="18"/>
      <c r="I126" s="19" t="s">
        <v>33</v>
      </c>
      <c r="J126" s="18" t="s">
        <v>108</v>
      </c>
      <c r="K126" s="18" t="s">
        <v>109</v>
      </c>
      <c r="L126" s="18" t="s">
        <v>493</v>
      </c>
      <c r="M126" s="18"/>
      <c r="N126" s="20"/>
      <c r="O126" s="20"/>
    </row>
    <row r="127" spans="1:15" ht="25.5" x14ac:dyDescent="0.25">
      <c r="A127" s="13" t="s">
        <v>494</v>
      </c>
      <c r="B127" s="14" t="s">
        <v>495</v>
      </c>
      <c r="C127" s="14" t="s">
        <v>50</v>
      </c>
      <c r="D127" s="14" t="s">
        <v>50</v>
      </c>
      <c r="E127" s="14" t="s">
        <v>44</v>
      </c>
      <c r="F127" s="14" t="s">
        <v>215</v>
      </c>
      <c r="G127" s="14" t="s">
        <v>467</v>
      </c>
      <c r="H127" s="14" t="s">
        <v>468</v>
      </c>
      <c r="I127" s="15" t="s">
        <v>33</v>
      </c>
      <c r="J127" s="14" t="s">
        <v>496</v>
      </c>
      <c r="K127" s="14" t="s">
        <v>470</v>
      </c>
      <c r="L127" s="14" t="s">
        <v>497</v>
      </c>
      <c r="M127" s="14"/>
      <c r="N127" s="16"/>
      <c r="O127" s="16" t="s">
        <v>498</v>
      </c>
    </row>
    <row r="128" spans="1:15" x14ac:dyDescent="0.25">
      <c r="A128" s="17" t="s">
        <v>499</v>
      </c>
      <c r="B128" s="18" t="s">
        <v>387</v>
      </c>
      <c r="C128" s="18" t="s">
        <v>50</v>
      </c>
      <c r="D128" s="18" t="s">
        <v>50</v>
      </c>
      <c r="E128" s="18" t="s">
        <v>44</v>
      </c>
      <c r="F128" s="18" t="s">
        <v>215</v>
      </c>
      <c r="G128" s="18"/>
      <c r="H128" s="18"/>
      <c r="I128" s="19" t="s">
        <v>33</v>
      </c>
      <c r="J128" s="18" t="s">
        <v>108</v>
      </c>
      <c r="K128" s="18" t="s">
        <v>109</v>
      </c>
      <c r="L128" s="18" t="s">
        <v>500</v>
      </c>
      <c r="M128" s="18"/>
      <c r="N128" s="20"/>
      <c r="O128" s="20"/>
    </row>
    <row r="129" spans="1:15" x14ac:dyDescent="0.25">
      <c r="A129" s="13" t="s">
        <v>501</v>
      </c>
      <c r="B129" s="14" t="s">
        <v>502</v>
      </c>
      <c r="C129" s="14" t="s">
        <v>50</v>
      </c>
      <c r="D129" s="14" t="s">
        <v>50</v>
      </c>
      <c r="E129" s="14" t="s">
        <v>44</v>
      </c>
      <c r="F129" s="14" t="s">
        <v>215</v>
      </c>
      <c r="G129" s="14"/>
      <c r="H129" s="14"/>
      <c r="I129" s="15" t="s">
        <v>33</v>
      </c>
      <c r="J129" s="14" t="s">
        <v>108</v>
      </c>
      <c r="K129" s="14" t="s">
        <v>109</v>
      </c>
      <c r="L129" s="14" t="s">
        <v>503</v>
      </c>
      <c r="M129" s="14"/>
      <c r="N129" s="16"/>
      <c r="O129" s="16"/>
    </row>
    <row r="130" spans="1:15" x14ac:dyDescent="0.25">
      <c r="A130" s="17" t="s">
        <v>504</v>
      </c>
      <c r="B130" s="18" t="s">
        <v>505</v>
      </c>
      <c r="C130" s="18" t="s">
        <v>50</v>
      </c>
      <c r="D130" s="18" t="s">
        <v>50</v>
      </c>
      <c r="E130" s="18" t="s">
        <v>44</v>
      </c>
      <c r="F130" s="18" t="s">
        <v>215</v>
      </c>
      <c r="G130" s="18"/>
      <c r="H130" s="18"/>
      <c r="I130" s="19" t="s">
        <v>33</v>
      </c>
      <c r="J130" s="18" t="s">
        <v>108</v>
      </c>
      <c r="K130" s="18" t="s">
        <v>109</v>
      </c>
      <c r="L130" s="18" t="s">
        <v>268</v>
      </c>
      <c r="M130" s="18"/>
      <c r="N130" s="20"/>
      <c r="O130" s="20"/>
    </row>
    <row r="131" spans="1:15" x14ac:dyDescent="0.25">
      <c r="A131" s="13" t="s">
        <v>506</v>
      </c>
      <c r="B131" s="14" t="s">
        <v>507</v>
      </c>
      <c r="C131" s="14" t="s">
        <v>50</v>
      </c>
      <c r="D131" s="14" t="s">
        <v>50</v>
      </c>
      <c r="E131" s="14" t="s">
        <v>44</v>
      </c>
      <c r="F131" s="14" t="s">
        <v>215</v>
      </c>
      <c r="G131" s="14" t="s">
        <v>508</v>
      </c>
      <c r="H131" s="14" t="s">
        <v>509</v>
      </c>
      <c r="I131" s="15" t="s">
        <v>33</v>
      </c>
      <c r="J131" s="14" t="s">
        <v>108</v>
      </c>
      <c r="K131" s="14" t="s">
        <v>109</v>
      </c>
      <c r="L131" s="14" t="s">
        <v>510</v>
      </c>
      <c r="M131" s="14"/>
      <c r="N131" s="16"/>
      <c r="O131" s="16"/>
    </row>
    <row r="132" spans="1:15" x14ac:dyDescent="0.25">
      <c r="A132" s="17" t="s">
        <v>511</v>
      </c>
      <c r="B132" s="18" t="s">
        <v>512</v>
      </c>
      <c r="C132" s="18" t="s">
        <v>50</v>
      </c>
      <c r="D132" s="18" t="s">
        <v>50</v>
      </c>
      <c r="E132" s="18" t="s">
        <v>44</v>
      </c>
      <c r="F132" s="18" t="s">
        <v>215</v>
      </c>
      <c r="G132" s="18" t="s">
        <v>508</v>
      </c>
      <c r="H132" s="18" t="s">
        <v>509</v>
      </c>
      <c r="I132" s="19" t="s">
        <v>33</v>
      </c>
      <c r="J132" s="18" t="s">
        <v>108</v>
      </c>
      <c r="K132" s="18" t="s">
        <v>109</v>
      </c>
      <c r="L132" s="18" t="s">
        <v>510</v>
      </c>
      <c r="M132" s="18" t="s">
        <v>513</v>
      </c>
      <c r="N132" s="20"/>
      <c r="O132" s="20"/>
    </row>
    <row r="133" spans="1:15" x14ac:dyDescent="0.25">
      <c r="A133" s="13" t="s">
        <v>514</v>
      </c>
      <c r="B133" s="14" t="s">
        <v>515</v>
      </c>
      <c r="C133" s="14" t="s">
        <v>50</v>
      </c>
      <c r="D133" s="14" t="s">
        <v>50</v>
      </c>
      <c r="E133" s="14" t="s">
        <v>44</v>
      </c>
      <c r="F133" s="14" t="s">
        <v>215</v>
      </c>
      <c r="G133" s="14" t="s">
        <v>508</v>
      </c>
      <c r="H133" s="14" t="s">
        <v>509</v>
      </c>
      <c r="I133" s="15" t="s">
        <v>33</v>
      </c>
      <c r="J133" s="14" t="s">
        <v>108</v>
      </c>
      <c r="K133" s="14" t="s">
        <v>109</v>
      </c>
      <c r="L133" s="14" t="s">
        <v>300</v>
      </c>
      <c r="M133" s="14" t="s">
        <v>513</v>
      </c>
      <c r="N133" s="16"/>
      <c r="O133" s="16"/>
    </row>
    <row r="134" spans="1:15" x14ac:dyDescent="0.25">
      <c r="A134" s="17" t="s">
        <v>516</v>
      </c>
      <c r="B134" s="18" t="s">
        <v>517</v>
      </c>
      <c r="C134" s="18" t="s">
        <v>50</v>
      </c>
      <c r="D134" s="18" t="s">
        <v>50</v>
      </c>
      <c r="E134" s="18" t="s">
        <v>44</v>
      </c>
      <c r="F134" s="18" t="s">
        <v>215</v>
      </c>
      <c r="G134" s="18" t="s">
        <v>508</v>
      </c>
      <c r="H134" s="18" t="s">
        <v>509</v>
      </c>
      <c r="I134" s="19" t="s">
        <v>33</v>
      </c>
      <c r="J134" s="18" t="s">
        <v>108</v>
      </c>
      <c r="K134" s="18" t="s">
        <v>109</v>
      </c>
      <c r="L134" s="18" t="s">
        <v>510</v>
      </c>
      <c r="M134" s="18" t="s">
        <v>513</v>
      </c>
      <c r="N134" s="20"/>
      <c r="O134" s="20"/>
    </row>
    <row r="135" spans="1:15" x14ac:dyDescent="0.25">
      <c r="A135" s="13" t="s">
        <v>518</v>
      </c>
      <c r="B135" s="14" t="s">
        <v>519</v>
      </c>
      <c r="C135" s="14" t="s">
        <v>50</v>
      </c>
      <c r="D135" s="14" t="s">
        <v>50</v>
      </c>
      <c r="E135" s="14" t="s">
        <v>44</v>
      </c>
      <c r="F135" s="14" t="s">
        <v>215</v>
      </c>
      <c r="G135" s="14" t="s">
        <v>508</v>
      </c>
      <c r="H135" s="14" t="s">
        <v>509</v>
      </c>
      <c r="I135" s="15" t="s">
        <v>33</v>
      </c>
      <c r="J135" s="14" t="s">
        <v>108</v>
      </c>
      <c r="K135" s="14" t="s">
        <v>109</v>
      </c>
      <c r="L135" s="14" t="s">
        <v>300</v>
      </c>
      <c r="M135" s="14" t="s">
        <v>513</v>
      </c>
      <c r="N135" s="16"/>
      <c r="O135" s="16"/>
    </row>
    <row r="136" spans="1:15" x14ac:dyDescent="0.25">
      <c r="A136" s="17" t="s">
        <v>520</v>
      </c>
      <c r="B136" s="18" t="s">
        <v>521</v>
      </c>
      <c r="C136" s="18" t="s">
        <v>50</v>
      </c>
      <c r="D136" s="18" t="s">
        <v>50</v>
      </c>
      <c r="E136" s="18" t="s">
        <v>44</v>
      </c>
      <c r="F136" s="18" t="s">
        <v>215</v>
      </c>
      <c r="G136" s="18" t="s">
        <v>508</v>
      </c>
      <c r="H136" s="18" t="s">
        <v>509</v>
      </c>
      <c r="I136" s="19" t="s">
        <v>33</v>
      </c>
      <c r="J136" s="18" t="s">
        <v>108</v>
      </c>
      <c r="K136" s="18" t="s">
        <v>109</v>
      </c>
      <c r="L136" s="18" t="s">
        <v>510</v>
      </c>
      <c r="M136" s="18" t="s">
        <v>513</v>
      </c>
      <c r="N136" s="20"/>
      <c r="O136" s="20"/>
    </row>
    <row r="137" spans="1:15" x14ac:dyDescent="0.25">
      <c r="A137" s="13" t="s">
        <v>522</v>
      </c>
      <c r="B137" s="14" t="s">
        <v>523</v>
      </c>
      <c r="C137" s="14" t="s">
        <v>50</v>
      </c>
      <c r="D137" s="14" t="s">
        <v>50</v>
      </c>
      <c r="E137" s="14" t="s">
        <v>44</v>
      </c>
      <c r="F137" s="14" t="s">
        <v>215</v>
      </c>
      <c r="G137" s="14" t="s">
        <v>508</v>
      </c>
      <c r="H137" s="14" t="s">
        <v>509</v>
      </c>
      <c r="I137" s="15" t="s">
        <v>33</v>
      </c>
      <c r="J137" s="14" t="s">
        <v>108</v>
      </c>
      <c r="K137" s="14" t="s">
        <v>109</v>
      </c>
      <c r="L137" s="14" t="s">
        <v>510</v>
      </c>
      <c r="M137" s="14" t="s">
        <v>513</v>
      </c>
      <c r="N137" s="16"/>
      <c r="O137" s="16"/>
    </row>
    <row r="138" spans="1:15" x14ac:dyDescent="0.25">
      <c r="A138" s="17" t="s">
        <v>524</v>
      </c>
      <c r="B138" s="18" t="s">
        <v>389</v>
      </c>
      <c r="C138" s="18" t="s">
        <v>50</v>
      </c>
      <c r="D138" s="18" t="s">
        <v>50</v>
      </c>
      <c r="E138" s="18" t="s">
        <v>44</v>
      </c>
      <c r="F138" s="18" t="s">
        <v>215</v>
      </c>
      <c r="G138" s="18" t="s">
        <v>508</v>
      </c>
      <c r="H138" s="18" t="s">
        <v>509</v>
      </c>
      <c r="I138" s="19" t="s">
        <v>33</v>
      </c>
      <c r="J138" s="18" t="s">
        <v>108</v>
      </c>
      <c r="K138" s="18" t="s">
        <v>109</v>
      </c>
      <c r="L138" s="18" t="s">
        <v>479</v>
      </c>
      <c r="M138" s="18" t="s">
        <v>513</v>
      </c>
      <c r="N138" s="20"/>
      <c r="O138" s="20"/>
    </row>
    <row r="139" spans="1:15" ht="38.25" x14ac:dyDescent="0.25">
      <c r="A139" s="13" t="s">
        <v>525</v>
      </c>
      <c r="B139" s="14" t="s">
        <v>526</v>
      </c>
      <c r="C139" s="14" t="s">
        <v>50</v>
      </c>
      <c r="D139" s="14" t="s">
        <v>50</v>
      </c>
      <c r="E139" s="14" t="s">
        <v>44</v>
      </c>
      <c r="F139" s="14" t="s">
        <v>215</v>
      </c>
      <c r="G139" s="14" t="s">
        <v>467</v>
      </c>
      <c r="H139" s="14" t="s">
        <v>468</v>
      </c>
      <c r="I139" s="15" t="s">
        <v>33</v>
      </c>
      <c r="J139" s="14" t="s">
        <v>527</v>
      </c>
      <c r="K139" s="14" t="s">
        <v>470</v>
      </c>
      <c r="L139" s="14" t="s">
        <v>510</v>
      </c>
      <c r="M139" s="14"/>
      <c r="N139" s="16"/>
      <c r="O139" s="16" t="s">
        <v>528</v>
      </c>
    </row>
  </sheetData>
  <mergeCells count="1">
    <mergeCell ref="A2:O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C6635"/>
  </sheetPr>
  <dimension ref="A1:H14"/>
  <sheetViews>
    <sheetView workbookViewId="0"/>
  </sheetViews>
  <sheetFormatPr defaultColWidth="8.7109375" defaultRowHeight="15" x14ac:dyDescent="0.25"/>
  <cols>
    <col min="1" max="1" width="8" customWidth="1"/>
    <col min="2" max="2" width="30" customWidth="1"/>
    <col min="3" max="3" width="26" customWidth="1"/>
    <col min="4" max="4" width="44" customWidth="1"/>
    <col min="5" max="7" width="12" customWidth="1"/>
    <col min="8" max="8" width="52" customWidth="1"/>
  </cols>
  <sheetData>
    <row r="1" spans="1:8" ht="20.25" x14ac:dyDescent="0.3">
      <c r="A1" s="3" t="s">
        <v>529</v>
      </c>
    </row>
    <row r="2" spans="1:8" ht="30" customHeight="1" x14ac:dyDescent="0.25">
      <c r="A2" s="2" t="s">
        <v>530</v>
      </c>
      <c r="B2" s="2"/>
      <c r="C2" s="2"/>
      <c r="D2" s="2"/>
      <c r="E2" s="2"/>
      <c r="F2" s="2"/>
      <c r="G2" s="2"/>
      <c r="H2" s="2"/>
    </row>
    <row r="4" spans="1:8" ht="27.75" customHeight="1" x14ac:dyDescent="0.25">
      <c r="A4" s="12" t="s">
        <v>531</v>
      </c>
      <c r="B4" s="12" t="s">
        <v>532</v>
      </c>
      <c r="C4" s="12" t="s">
        <v>533</v>
      </c>
      <c r="D4" s="12" t="s">
        <v>534</v>
      </c>
      <c r="E4" s="12" t="s">
        <v>535</v>
      </c>
      <c r="F4" s="12" t="s">
        <v>89</v>
      </c>
      <c r="G4" s="12" t="s">
        <v>536</v>
      </c>
      <c r="H4" s="12" t="s">
        <v>95</v>
      </c>
    </row>
    <row r="5" spans="1:8" ht="51" x14ac:dyDescent="0.25">
      <c r="A5" s="14" t="s">
        <v>537</v>
      </c>
      <c r="B5" s="14" t="s">
        <v>340</v>
      </c>
      <c r="C5" s="14" t="s">
        <v>538</v>
      </c>
      <c r="D5" s="16" t="s">
        <v>539</v>
      </c>
      <c r="E5" s="14" t="s">
        <v>540</v>
      </c>
      <c r="F5" s="15" t="s">
        <v>33</v>
      </c>
      <c r="G5" s="14" t="s">
        <v>541</v>
      </c>
      <c r="H5" s="16" t="s">
        <v>542</v>
      </c>
    </row>
    <row r="6" spans="1:8" ht="25.5" x14ac:dyDescent="0.25">
      <c r="A6" s="18" t="s">
        <v>543</v>
      </c>
      <c r="B6" s="18" t="s">
        <v>155</v>
      </c>
      <c r="C6" s="18" t="s">
        <v>544</v>
      </c>
      <c r="D6" s="20" t="s">
        <v>545</v>
      </c>
      <c r="E6" s="18" t="s">
        <v>546</v>
      </c>
      <c r="F6" s="19" t="s">
        <v>33</v>
      </c>
      <c r="G6" s="18" t="s">
        <v>541</v>
      </c>
      <c r="H6" s="20" t="s">
        <v>547</v>
      </c>
    </row>
    <row r="7" spans="1:8" ht="38.25" x14ac:dyDescent="0.25">
      <c r="A7" s="14" t="s">
        <v>548</v>
      </c>
      <c r="B7" s="14" t="s">
        <v>549</v>
      </c>
      <c r="C7" s="14" t="s">
        <v>550</v>
      </c>
      <c r="D7" s="16" t="s">
        <v>551</v>
      </c>
      <c r="E7" s="14" t="s">
        <v>540</v>
      </c>
      <c r="F7" s="21" t="s">
        <v>36</v>
      </c>
      <c r="G7" s="14" t="s">
        <v>552</v>
      </c>
      <c r="H7" s="16" t="s">
        <v>553</v>
      </c>
    </row>
    <row r="8" spans="1:8" ht="38.25" x14ac:dyDescent="0.25">
      <c r="A8" s="18" t="s">
        <v>554</v>
      </c>
      <c r="B8" s="18" t="s">
        <v>340</v>
      </c>
      <c r="C8" s="18" t="s">
        <v>555</v>
      </c>
      <c r="D8" s="20" t="s">
        <v>556</v>
      </c>
      <c r="E8" s="18" t="s">
        <v>540</v>
      </c>
      <c r="F8" s="22" t="s">
        <v>36</v>
      </c>
      <c r="G8" s="18" t="s">
        <v>552</v>
      </c>
      <c r="H8" s="20" t="s">
        <v>557</v>
      </c>
    </row>
    <row r="9" spans="1:8" ht="25.5" x14ac:dyDescent="0.25">
      <c r="A9" s="14" t="s">
        <v>558</v>
      </c>
      <c r="B9" s="14" t="s">
        <v>559</v>
      </c>
      <c r="C9" s="14" t="s">
        <v>560</v>
      </c>
      <c r="D9" s="16" t="s">
        <v>561</v>
      </c>
      <c r="E9" s="14" t="s">
        <v>540</v>
      </c>
      <c r="F9" s="21" t="s">
        <v>36</v>
      </c>
      <c r="G9" s="14" t="s">
        <v>552</v>
      </c>
      <c r="H9" s="16" t="s">
        <v>562</v>
      </c>
    </row>
    <row r="10" spans="1:8" ht="38.25" x14ac:dyDescent="0.25">
      <c r="A10" s="18" t="s">
        <v>563</v>
      </c>
      <c r="B10" s="18" t="s">
        <v>388</v>
      </c>
      <c r="C10" s="18" t="s">
        <v>564</v>
      </c>
      <c r="D10" s="20" t="s">
        <v>565</v>
      </c>
      <c r="E10" s="18" t="s">
        <v>540</v>
      </c>
      <c r="F10" s="22" t="s">
        <v>36</v>
      </c>
      <c r="G10" s="18" t="s">
        <v>552</v>
      </c>
      <c r="H10" s="20" t="s">
        <v>566</v>
      </c>
    </row>
    <row r="11" spans="1:8" ht="25.5" x14ac:dyDescent="0.25">
      <c r="A11" s="14" t="s">
        <v>567</v>
      </c>
      <c r="B11" s="14" t="s">
        <v>494</v>
      </c>
      <c r="C11" s="14" t="s">
        <v>568</v>
      </c>
      <c r="D11" s="16" t="s">
        <v>569</v>
      </c>
      <c r="E11" s="14" t="s">
        <v>540</v>
      </c>
      <c r="F11" s="21" t="s">
        <v>36</v>
      </c>
      <c r="G11" s="14" t="s">
        <v>552</v>
      </c>
      <c r="H11" s="16" t="s">
        <v>570</v>
      </c>
    </row>
    <row r="12" spans="1:8" ht="25.5" x14ac:dyDescent="0.25">
      <c r="A12" s="18" t="s">
        <v>571</v>
      </c>
      <c r="B12" s="18" t="s">
        <v>525</v>
      </c>
      <c r="C12" s="18" t="s">
        <v>572</v>
      </c>
      <c r="D12" s="20" t="s">
        <v>573</v>
      </c>
      <c r="E12" s="18" t="s">
        <v>540</v>
      </c>
      <c r="F12" s="22" t="s">
        <v>36</v>
      </c>
      <c r="G12" s="18" t="s">
        <v>552</v>
      </c>
      <c r="H12" s="20" t="s">
        <v>574</v>
      </c>
    </row>
    <row r="13" spans="1:8" ht="25.5" x14ac:dyDescent="0.25">
      <c r="A13" s="14" t="s">
        <v>575</v>
      </c>
      <c r="B13" s="14" t="s">
        <v>576</v>
      </c>
      <c r="C13" s="14" t="s">
        <v>577</v>
      </c>
      <c r="D13" s="16" t="s">
        <v>578</v>
      </c>
      <c r="E13" s="14" t="s">
        <v>540</v>
      </c>
      <c r="F13" s="21" t="s">
        <v>36</v>
      </c>
      <c r="G13" s="14" t="s">
        <v>552</v>
      </c>
      <c r="H13" s="16" t="s">
        <v>579</v>
      </c>
    </row>
    <row r="14" spans="1:8" ht="51" x14ac:dyDescent="0.25">
      <c r="A14" s="18" t="s">
        <v>580</v>
      </c>
      <c r="B14" s="18" t="s">
        <v>322</v>
      </c>
      <c r="C14" s="18" t="s">
        <v>581</v>
      </c>
      <c r="D14" s="20" t="s">
        <v>582</v>
      </c>
      <c r="E14" s="18" t="s">
        <v>581</v>
      </c>
      <c r="F14" s="18" t="s">
        <v>583</v>
      </c>
      <c r="G14" s="18" t="s">
        <v>541</v>
      </c>
      <c r="H14" s="20" t="s">
        <v>584</v>
      </c>
    </row>
  </sheetData>
  <mergeCells count="1">
    <mergeCell ref="A2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061DE"/>
  </sheetPr>
  <dimension ref="A1:I22"/>
  <sheetViews>
    <sheetView workbookViewId="0"/>
  </sheetViews>
  <sheetFormatPr defaultColWidth="8.7109375" defaultRowHeight="15" x14ac:dyDescent="0.25"/>
  <cols>
    <col min="1" max="1" width="8" customWidth="1"/>
    <col min="2" max="2" width="30" customWidth="1"/>
    <col min="3" max="3" width="34" customWidth="1"/>
    <col min="4" max="4" width="14" customWidth="1"/>
    <col min="5" max="5" width="12" customWidth="1"/>
    <col min="6" max="6" width="26" customWidth="1"/>
    <col min="7" max="8" width="12" customWidth="1"/>
    <col min="9" max="9" width="46" customWidth="1"/>
  </cols>
  <sheetData>
    <row r="1" spans="1:9" ht="20.25" x14ac:dyDescent="0.3">
      <c r="A1" s="3" t="s">
        <v>585</v>
      </c>
    </row>
    <row r="2" spans="1:9" ht="30" customHeight="1" x14ac:dyDescent="0.25">
      <c r="A2" s="2" t="s">
        <v>586</v>
      </c>
      <c r="B2" s="2"/>
      <c r="C2" s="2"/>
      <c r="D2" s="2"/>
      <c r="E2" s="2"/>
      <c r="F2" s="2"/>
      <c r="G2" s="2"/>
      <c r="H2" s="2"/>
      <c r="I2" s="2"/>
    </row>
    <row r="4" spans="1:9" ht="27.75" customHeight="1" x14ac:dyDescent="0.25">
      <c r="A4" s="12" t="s">
        <v>531</v>
      </c>
      <c r="B4" s="12" t="s">
        <v>587</v>
      </c>
      <c r="C4" s="12" t="s">
        <v>588</v>
      </c>
      <c r="D4" s="12" t="s">
        <v>589</v>
      </c>
      <c r="E4" s="12" t="s">
        <v>590</v>
      </c>
      <c r="F4" s="12" t="s">
        <v>591</v>
      </c>
      <c r="G4" s="12" t="s">
        <v>89</v>
      </c>
      <c r="H4" s="12" t="s">
        <v>536</v>
      </c>
      <c r="I4" s="12" t="s">
        <v>95</v>
      </c>
    </row>
    <row r="5" spans="1:9" ht="25.5" x14ac:dyDescent="0.25">
      <c r="A5" s="14" t="s">
        <v>592</v>
      </c>
      <c r="B5" s="14" t="s">
        <v>581</v>
      </c>
      <c r="C5" s="16" t="s">
        <v>593</v>
      </c>
      <c r="D5" s="14" t="s">
        <v>594</v>
      </c>
      <c r="E5" s="14" t="s">
        <v>581</v>
      </c>
      <c r="F5" s="14" t="s">
        <v>595</v>
      </c>
      <c r="G5" s="23" t="s">
        <v>34</v>
      </c>
      <c r="H5" s="14" t="s">
        <v>541</v>
      </c>
      <c r="I5" s="16" t="s">
        <v>596</v>
      </c>
    </row>
    <row r="6" spans="1:9" ht="25.5" x14ac:dyDescent="0.25">
      <c r="A6" s="18" t="s">
        <v>597</v>
      </c>
      <c r="B6" s="18" t="s">
        <v>598</v>
      </c>
      <c r="C6" s="20" t="s">
        <v>599</v>
      </c>
      <c r="D6" s="18" t="s">
        <v>600</v>
      </c>
      <c r="E6" s="18" t="s">
        <v>601</v>
      </c>
      <c r="F6" s="18" t="s">
        <v>602</v>
      </c>
      <c r="G6" s="22" t="s">
        <v>36</v>
      </c>
      <c r="H6" s="18" t="s">
        <v>552</v>
      </c>
      <c r="I6" s="20" t="s">
        <v>603</v>
      </c>
    </row>
    <row r="7" spans="1:9" ht="25.5" x14ac:dyDescent="0.25">
      <c r="A7" s="14" t="s">
        <v>604</v>
      </c>
      <c r="B7" s="14" t="s">
        <v>605</v>
      </c>
      <c r="C7" s="16" t="s">
        <v>606</v>
      </c>
      <c r="D7" s="14" t="s">
        <v>600</v>
      </c>
      <c r="E7" s="14" t="s">
        <v>607</v>
      </c>
      <c r="F7" s="14" t="s">
        <v>602</v>
      </c>
      <c r="G7" s="21" t="s">
        <v>36</v>
      </c>
      <c r="H7" s="14" t="s">
        <v>552</v>
      </c>
      <c r="I7" s="16" t="s">
        <v>608</v>
      </c>
    </row>
    <row r="8" spans="1:9" ht="38.25" x14ac:dyDescent="0.25">
      <c r="A8" s="18" t="s">
        <v>609</v>
      </c>
      <c r="B8" s="18" t="s">
        <v>610</v>
      </c>
      <c r="C8" s="20" t="s">
        <v>611</v>
      </c>
      <c r="D8" s="18" t="s">
        <v>612</v>
      </c>
      <c r="E8" s="18" t="s">
        <v>607</v>
      </c>
      <c r="F8" s="18" t="s">
        <v>602</v>
      </c>
      <c r="G8" s="22" t="s">
        <v>36</v>
      </c>
      <c r="H8" s="18" t="s">
        <v>552</v>
      </c>
      <c r="I8" s="20" t="s">
        <v>613</v>
      </c>
    </row>
    <row r="9" spans="1:9" ht="25.5" x14ac:dyDescent="0.25">
      <c r="A9" s="14" t="s">
        <v>614</v>
      </c>
      <c r="B9" s="14" t="s">
        <v>615</v>
      </c>
      <c r="C9" s="16" t="s">
        <v>616</v>
      </c>
      <c r="D9" s="14" t="s">
        <v>612</v>
      </c>
      <c r="E9" s="14" t="s">
        <v>607</v>
      </c>
      <c r="F9" s="14" t="s">
        <v>617</v>
      </c>
      <c r="G9" s="21" t="s">
        <v>36</v>
      </c>
      <c r="H9" s="14" t="s">
        <v>552</v>
      </c>
      <c r="I9" s="16" t="s">
        <v>618</v>
      </c>
    </row>
    <row r="10" spans="1:9" ht="38.25" x14ac:dyDescent="0.25">
      <c r="A10" s="18" t="s">
        <v>619</v>
      </c>
      <c r="B10" s="18" t="s">
        <v>620</v>
      </c>
      <c r="C10" s="20" t="s">
        <v>621</v>
      </c>
      <c r="D10" s="18" t="s">
        <v>594</v>
      </c>
      <c r="E10" s="18" t="s">
        <v>622</v>
      </c>
      <c r="F10" s="18" t="s">
        <v>602</v>
      </c>
      <c r="G10" s="22" t="s">
        <v>36</v>
      </c>
      <c r="H10" s="18" t="s">
        <v>552</v>
      </c>
      <c r="I10" s="20" t="s">
        <v>623</v>
      </c>
    </row>
    <row r="11" spans="1:9" ht="38.25" x14ac:dyDescent="0.25">
      <c r="A11" s="14" t="s">
        <v>624</v>
      </c>
      <c r="B11" s="14" t="s">
        <v>625</v>
      </c>
      <c r="C11" s="16" t="s">
        <v>626</v>
      </c>
      <c r="D11" s="14" t="s">
        <v>594</v>
      </c>
      <c r="E11" s="14" t="s">
        <v>607</v>
      </c>
      <c r="F11" s="14" t="s">
        <v>602</v>
      </c>
      <c r="G11" s="21" t="s">
        <v>36</v>
      </c>
      <c r="H11" s="14" t="s">
        <v>552</v>
      </c>
      <c r="I11" s="16" t="s">
        <v>627</v>
      </c>
    </row>
    <row r="12" spans="1:9" ht="25.5" x14ac:dyDescent="0.25">
      <c r="A12" s="18" t="s">
        <v>628</v>
      </c>
      <c r="B12" s="18" t="s">
        <v>629</v>
      </c>
      <c r="C12" s="20" t="s">
        <v>630</v>
      </c>
      <c r="D12" s="18" t="s">
        <v>594</v>
      </c>
      <c r="E12" s="18" t="s">
        <v>607</v>
      </c>
      <c r="F12" s="18" t="s">
        <v>602</v>
      </c>
      <c r="G12" s="22" t="s">
        <v>36</v>
      </c>
      <c r="H12" s="18" t="s">
        <v>552</v>
      </c>
      <c r="I12" s="20" t="s">
        <v>631</v>
      </c>
    </row>
    <row r="13" spans="1:9" ht="25.5" x14ac:dyDescent="0.25">
      <c r="A13" s="14" t="s">
        <v>632</v>
      </c>
      <c r="B13" s="14" t="s">
        <v>633</v>
      </c>
      <c r="C13" s="16" t="s">
        <v>634</v>
      </c>
      <c r="D13" s="14" t="s">
        <v>594</v>
      </c>
      <c r="E13" s="14" t="s">
        <v>601</v>
      </c>
      <c r="F13" s="14" t="s">
        <v>602</v>
      </c>
      <c r="G13" s="21" t="s">
        <v>36</v>
      </c>
      <c r="H13" s="14" t="s">
        <v>552</v>
      </c>
      <c r="I13" s="16" t="s">
        <v>635</v>
      </c>
    </row>
    <row r="14" spans="1:9" ht="25.5" x14ac:dyDescent="0.25">
      <c r="A14" s="18" t="s">
        <v>636</v>
      </c>
      <c r="B14" s="18" t="s">
        <v>637</v>
      </c>
      <c r="C14" s="20" t="s">
        <v>638</v>
      </c>
      <c r="D14" s="18" t="s">
        <v>594</v>
      </c>
      <c r="E14" s="18" t="s">
        <v>601</v>
      </c>
      <c r="F14" s="18" t="s">
        <v>602</v>
      </c>
      <c r="G14" s="22" t="s">
        <v>36</v>
      </c>
      <c r="H14" s="18" t="s">
        <v>552</v>
      </c>
      <c r="I14" s="20" t="s">
        <v>639</v>
      </c>
    </row>
    <row r="15" spans="1:9" ht="25.5" x14ac:dyDescent="0.25">
      <c r="A15" s="14" t="s">
        <v>640</v>
      </c>
      <c r="B15" s="14" t="s">
        <v>641</v>
      </c>
      <c r="C15" s="16" t="s">
        <v>642</v>
      </c>
      <c r="D15" s="14" t="s">
        <v>594</v>
      </c>
      <c r="E15" s="14" t="s">
        <v>601</v>
      </c>
      <c r="F15" s="14" t="s">
        <v>602</v>
      </c>
      <c r="G15" s="21" t="s">
        <v>36</v>
      </c>
      <c r="H15" s="14" t="s">
        <v>552</v>
      </c>
      <c r="I15" s="16"/>
    </row>
    <row r="16" spans="1:9" ht="38.25" x14ac:dyDescent="0.25">
      <c r="A16" s="18" t="s">
        <v>643</v>
      </c>
      <c r="B16" s="18" t="s">
        <v>644</v>
      </c>
      <c r="C16" s="20" t="s">
        <v>645</v>
      </c>
      <c r="D16" s="18" t="s">
        <v>594</v>
      </c>
      <c r="E16" s="18" t="s">
        <v>607</v>
      </c>
      <c r="F16" s="18" t="s">
        <v>602</v>
      </c>
      <c r="G16" s="22" t="s">
        <v>36</v>
      </c>
      <c r="H16" s="18" t="s">
        <v>552</v>
      </c>
      <c r="I16" s="20" t="s">
        <v>646</v>
      </c>
    </row>
    <row r="17" spans="1:9" ht="25.5" x14ac:dyDescent="0.25">
      <c r="A17" s="14" t="s">
        <v>647</v>
      </c>
      <c r="B17" s="14" t="s">
        <v>648</v>
      </c>
      <c r="C17" s="16" t="s">
        <v>649</v>
      </c>
      <c r="D17" s="14" t="s">
        <v>594</v>
      </c>
      <c r="E17" s="14" t="s">
        <v>601</v>
      </c>
      <c r="F17" s="14" t="s">
        <v>650</v>
      </c>
      <c r="G17" s="21" t="s">
        <v>36</v>
      </c>
      <c r="H17" s="14" t="s">
        <v>552</v>
      </c>
      <c r="I17" s="16" t="s">
        <v>651</v>
      </c>
    </row>
    <row r="18" spans="1:9" ht="25.5" x14ac:dyDescent="0.25">
      <c r="A18" s="18" t="s">
        <v>652</v>
      </c>
      <c r="B18" s="18" t="s">
        <v>653</v>
      </c>
      <c r="C18" s="20" t="s">
        <v>654</v>
      </c>
      <c r="D18" s="18" t="s">
        <v>594</v>
      </c>
      <c r="E18" s="18" t="s">
        <v>601</v>
      </c>
      <c r="F18" s="18" t="s">
        <v>602</v>
      </c>
      <c r="G18" s="22" t="s">
        <v>36</v>
      </c>
      <c r="H18" s="18" t="s">
        <v>552</v>
      </c>
      <c r="I18" s="20" t="s">
        <v>655</v>
      </c>
    </row>
    <row r="19" spans="1:9" ht="25.5" x14ac:dyDescent="0.25">
      <c r="A19" s="14" t="s">
        <v>656</v>
      </c>
      <c r="B19" s="14" t="s">
        <v>657</v>
      </c>
      <c r="C19" s="16" t="s">
        <v>658</v>
      </c>
      <c r="D19" s="14" t="s">
        <v>594</v>
      </c>
      <c r="E19" s="14" t="s">
        <v>607</v>
      </c>
      <c r="F19" s="14" t="s">
        <v>617</v>
      </c>
      <c r="G19" s="21" t="s">
        <v>36</v>
      </c>
      <c r="H19" s="14" t="s">
        <v>552</v>
      </c>
      <c r="I19" s="16" t="s">
        <v>659</v>
      </c>
    </row>
    <row r="20" spans="1:9" ht="25.5" x14ac:dyDescent="0.25">
      <c r="A20" s="18" t="s">
        <v>660</v>
      </c>
      <c r="B20" s="18" t="s">
        <v>661</v>
      </c>
      <c r="C20" s="20" t="s">
        <v>662</v>
      </c>
      <c r="D20" s="18" t="s">
        <v>663</v>
      </c>
      <c r="E20" s="18" t="s">
        <v>622</v>
      </c>
      <c r="F20" s="18" t="s">
        <v>650</v>
      </c>
      <c r="G20" s="22" t="s">
        <v>36</v>
      </c>
      <c r="H20" s="18" t="s">
        <v>552</v>
      </c>
      <c r="I20" s="20" t="s">
        <v>664</v>
      </c>
    </row>
    <row r="21" spans="1:9" ht="25.5" x14ac:dyDescent="0.25">
      <c r="A21" s="14" t="s">
        <v>665</v>
      </c>
      <c r="B21" s="14" t="s">
        <v>666</v>
      </c>
      <c r="C21" s="16" t="s">
        <v>667</v>
      </c>
      <c r="D21" s="14" t="s">
        <v>594</v>
      </c>
      <c r="E21" s="14" t="s">
        <v>601</v>
      </c>
      <c r="F21" s="14" t="s">
        <v>650</v>
      </c>
      <c r="G21" s="21" t="s">
        <v>36</v>
      </c>
      <c r="H21" s="14" t="s">
        <v>552</v>
      </c>
      <c r="I21" s="16" t="s">
        <v>668</v>
      </c>
    </row>
    <row r="22" spans="1:9" ht="25.5" x14ac:dyDescent="0.25">
      <c r="A22" s="18" t="s">
        <v>669</v>
      </c>
      <c r="B22" s="18" t="s">
        <v>670</v>
      </c>
      <c r="C22" s="20" t="s">
        <v>671</v>
      </c>
      <c r="D22" s="18" t="s">
        <v>663</v>
      </c>
      <c r="E22" s="18" t="s">
        <v>672</v>
      </c>
      <c r="F22" s="18" t="s">
        <v>617</v>
      </c>
      <c r="G22" s="19" t="s">
        <v>673</v>
      </c>
      <c r="H22" s="18" t="s">
        <v>541</v>
      </c>
      <c r="I22" s="20" t="s">
        <v>674</v>
      </c>
    </row>
  </sheetData>
  <mergeCells count="1">
    <mergeCell ref="A2:I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77F43"/>
  </sheetPr>
  <dimension ref="A1:I22"/>
  <sheetViews>
    <sheetView workbookViewId="0"/>
  </sheetViews>
  <sheetFormatPr defaultColWidth="8.7109375" defaultRowHeight="15" x14ac:dyDescent="0.25"/>
  <cols>
    <col min="1" max="1" width="8" customWidth="1"/>
    <col min="2" max="2" width="28" customWidth="1"/>
    <col min="3" max="3" width="26" customWidth="1"/>
    <col min="4" max="4" width="40" customWidth="1"/>
    <col min="5" max="5" width="14" customWidth="1"/>
    <col min="6" max="6" width="16" customWidth="1"/>
    <col min="7" max="8" width="12" customWidth="1"/>
    <col min="9" max="9" width="46" customWidth="1"/>
  </cols>
  <sheetData>
    <row r="1" spans="1:9" ht="20.25" x14ac:dyDescent="0.3">
      <c r="A1" s="3" t="s">
        <v>675</v>
      </c>
    </row>
    <row r="2" spans="1:9" ht="30" customHeight="1" x14ac:dyDescent="0.25">
      <c r="A2" s="2" t="s">
        <v>676</v>
      </c>
      <c r="B2" s="2"/>
      <c r="C2" s="2"/>
      <c r="D2" s="2"/>
      <c r="E2" s="2"/>
      <c r="F2" s="2"/>
      <c r="G2" s="2"/>
      <c r="H2" s="2"/>
      <c r="I2" s="2"/>
    </row>
    <row r="4" spans="1:9" ht="27.75" customHeight="1" x14ac:dyDescent="0.25">
      <c r="A4" s="12" t="s">
        <v>531</v>
      </c>
      <c r="B4" s="12" t="s">
        <v>533</v>
      </c>
      <c r="C4" s="12" t="s">
        <v>677</v>
      </c>
      <c r="D4" s="12" t="s">
        <v>678</v>
      </c>
      <c r="E4" s="12" t="s">
        <v>679</v>
      </c>
      <c r="F4" s="12" t="s">
        <v>680</v>
      </c>
      <c r="G4" s="12" t="s">
        <v>89</v>
      </c>
      <c r="H4" s="12" t="s">
        <v>536</v>
      </c>
      <c r="I4" s="12" t="s">
        <v>95</v>
      </c>
    </row>
    <row r="5" spans="1:9" ht="25.5" x14ac:dyDescent="0.25">
      <c r="A5" s="14" t="s">
        <v>681</v>
      </c>
      <c r="B5" s="14" t="s">
        <v>682</v>
      </c>
      <c r="C5" s="14" t="s">
        <v>683</v>
      </c>
      <c r="D5" s="16" t="s">
        <v>684</v>
      </c>
      <c r="E5" s="14" t="s">
        <v>685</v>
      </c>
      <c r="F5" s="14" t="s">
        <v>686</v>
      </c>
      <c r="G5" s="15" t="s">
        <v>673</v>
      </c>
      <c r="H5" s="14" t="s">
        <v>541</v>
      </c>
      <c r="I5" s="16" t="s">
        <v>687</v>
      </c>
    </row>
    <row r="6" spans="1:9" x14ac:dyDescent="0.25">
      <c r="A6" s="18" t="s">
        <v>688</v>
      </c>
      <c r="B6" s="18" t="s">
        <v>689</v>
      </c>
      <c r="C6" s="18" t="s">
        <v>690</v>
      </c>
      <c r="D6" s="20" t="s">
        <v>691</v>
      </c>
      <c r="E6" s="18" t="s">
        <v>685</v>
      </c>
      <c r="F6" s="18" t="s">
        <v>686</v>
      </c>
      <c r="G6" s="19" t="s">
        <v>673</v>
      </c>
      <c r="H6" s="18" t="s">
        <v>541</v>
      </c>
      <c r="I6" s="20" t="s">
        <v>692</v>
      </c>
    </row>
    <row r="7" spans="1:9" ht="38.25" x14ac:dyDescent="0.25">
      <c r="A7" s="14" t="s">
        <v>693</v>
      </c>
      <c r="B7" s="14" t="s">
        <v>694</v>
      </c>
      <c r="C7" s="14" t="s">
        <v>695</v>
      </c>
      <c r="D7" s="16" t="s">
        <v>696</v>
      </c>
      <c r="E7" s="14" t="s">
        <v>697</v>
      </c>
      <c r="F7" s="14" t="s">
        <v>581</v>
      </c>
      <c r="G7" s="21" t="s">
        <v>36</v>
      </c>
      <c r="H7" s="14" t="s">
        <v>552</v>
      </c>
      <c r="I7" s="16" t="s">
        <v>698</v>
      </c>
    </row>
    <row r="8" spans="1:9" ht="25.5" x14ac:dyDescent="0.25">
      <c r="A8" s="18" t="s">
        <v>699</v>
      </c>
      <c r="B8" s="18" t="s">
        <v>700</v>
      </c>
      <c r="C8" s="18" t="s">
        <v>701</v>
      </c>
      <c r="D8" s="20" t="s">
        <v>702</v>
      </c>
      <c r="E8" s="18" t="s">
        <v>697</v>
      </c>
      <c r="F8" s="18" t="s">
        <v>581</v>
      </c>
      <c r="G8" s="22" t="s">
        <v>36</v>
      </c>
      <c r="H8" s="18" t="s">
        <v>552</v>
      </c>
      <c r="I8" s="20" t="s">
        <v>703</v>
      </c>
    </row>
    <row r="9" spans="1:9" x14ac:dyDescent="0.25">
      <c r="A9" s="14" t="s">
        <v>704</v>
      </c>
      <c r="B9" s="14" t="s">
        <v>705</v>
      </c>
      <c r="C9" s="14" t="s">
        <v>706</v>
      </c>
      <c r="D9" s="16" t="s">
        <v>707</v>
      </c>
      <c r="E9" s="14" t="s">
        <v>697</v>
      </c>
      <c r="F9" s="14" t="s">
        <v>581</v>
      </c>
      <c r="G9" s="21" t="s">
        <v>36</v>
      </c>
      <c r="H9" s="14" t="s">
        <v>552</v>
      </c>
      <c r="I9" s="16" t="s">
        <v>708</v>
      </c>
    </row>
    <row r="10" spans="1:9" x14ac:dyDescent="0.25">
      <c r="A10" s="18" t="s">
        <v>709</v>
      </c>
      <c r="B10" s="18" t="s">
        <v>598</v>
      </c>
      <c r="C10" s="18" t="s">
        <v>600</v>
      </c>
      <c r="D10" s="20" t="s">
        <v>710</v>
      </c>
      <c r="E10" s="18" t="s">
        <v>697</v>
      </c>
      <c r="F10" s="18" t="s">
        <v>581</v>
      </c>
      <c r="G10" s="22" t="s">
        <v>36</v>
      </c>
      <c r="H10" s="18" t="s">
        <v>552</v>
      </c>
      <c r="I10" s="20" t="s">
        <v>711</v>
      </c>
    </row>
    <row r="11" spans="1:9" x14ac:dyDescent="0.25">
      <c r="A11" s="14" t="s">
        <v>712</v>
      </c>
      <c r="B11" s="14" t="s">
        <v>605</v>
      </c>
      <c r="C11" s="14" t="s">
        <v>600</v>
      </c>
      <c r="D11" s="16" t="s">
        <v>713</v>
      </c>
      <c r="E11" s="14" t="s">
        <v>697</v>
      </c>
      <c r="F11" s="14" t="s">
        <v>581</v>
      </c>
      <c r="G11" s="21" t="s">
        <v>36</v>
      </c>
      <c r="H11" s="14" t="s">
        <v>552</v>
      </c>
      <c r="I11" s="16" t="s">
        <v>714</v>
      </c>
    </row>
    <row r="12" spans="1:9" ht="25.5" x14ac:dyDescent="0.25">
      <c r="A12" s="18" t="s">
        <v>715</v>
      </c>
      <c r="B12" s="18" t="s">
        <v>610</v>
      </c>
      <c r="C12" s="18" t="s">
        <v>612</v>
      </c>
      <c r="D12" s="20" t="s">
        <v>716</v>
      </c>
      <c r="E12" s="18" t="s">
        <v>697</v>
      </c>
      <c r="F12" s="18" t="s">
        <v>581</v>
      </c>
      <c r="G12" s="22" t="s">
        <v>36</v>
      </c>
      <c r="H12" s="18" t="s">
        <v>552</v>
      </c>
      <c r="I12" s="20" t="s">
        <v>717</v>
      </c>
    </row>
    <row r="13" spans="1:9" ht="25.5" x14ac:dyDescent="0.25">
      <c r="A13" s="14" t="s">
        <v>718</v>
      </c>
      <c r="B13" s="14" t="s">
        <v>610</v>
      </c>
      <c r="C13" s="14" t="s">
        <v>612</v>
      </c>
      <c r="D13" s="16" t="s">
        <v>719</v>
      </c>
      <c r="E13" s="14" t="s">
        <v>697</v>
      </c>
      <c r="F13" s="14" t="s">
        <v>581</v>
      </c>
      <c r="G13" s="21" t="s">
        <v>36</v>
      </c>
      <c r="H13" s="14" t="s">
        <v>552</v>
      </c>
      <c r="I13" s="16" t="s">
        <v>720</v>
      </c>
    </row>
    <row r="14" spans="1:9" ht="25.5" x14ac:dyDescent="0.25">
      <c r="A14" s="18" t="s">
        <v>721</v>
      </c>
      <c r="B14" s="18" t="s">
        <v>722</v>
      </c>
      <c r="C14" s="18" t="s">
        <v>594</v>
      </c>
      <c r="D14" s="20" t="s">
        <v>723</v>
      </c>
      <c r="E14" s="18" t="s">
        <v>697</v>
      </c>
      <c r="F14" s="18" t="s">
        <v>581</v>
      </c>
      <c r="G14" s="22" t="s">
        <v>36</v>
      </c>
      <c r="H14" s="18" t="s">
        <v>552</v>
      </c>
      <c r="I14" s="20" t="s">
        <v>724</v>
      </c>
    </row>
    <row r="15" spans="1:9" x14ac:dyDescent="0.25">
      <c r="A15" s="14" t="s">
        <v>725</v>
      </c>
      <c r="B15" s="14" t="s">
        <v>625</v>
      </c>
      <c r="C15" s="14" t="s">
        <v>726</v>
      </c>
      <c r="D15" s="16" t="s">
        <v>727</v>
      </c>
      <c r="E15" s="14" t="s">
        <v>697</v>
      </c>
      <c r="F15" s="14" t="s">
        <v>581</v>
      </c>
      <c r="G15" s="21" t="s">
        <v>36</v>
      </c>
      <c r="H15" s="14" t="s">
        <v>552</v>
      </c>
      <c r="I15" s="16"/>
    </row>
    <row r="16" spans="1:9" x14ac:dyDescent="0.25">
      <c r="A16" s="18" t="s">
        <v>728</v>
      </c>
      <c r="B16" s="18" t="s">
        <v>629</v>
      </c>
      <c r="C16" s="18" t="s">
        <v>729</v>
      </c>
      <c r="D16" s="20" t="s">
        <v>730</v>
      </c>
      <c r="E16" s="18" t="s">
        <v>697</v>
      </c>
      <c r="F16" s="18" t="s">
        <v>581</v>
      </c>
      <c r="G16" s="22" t="s">
        <v>36</v>
      </c>
      <c r="H16" s="18" t="s">
        <v>552</v>
      </c>
      <c r="I16" s="20"/>
    </row>
    <row r="17" spans="1:9" x14ac:dyDescent="0.25">
      <c r="A17" s="14" t="s">
        <v>731</v>
      </c>
      <c r="B17" s="14" t="s">
        <v>633</v>
      </c>
      <c r="C17" s="14" t="s">
        <v>726</v>
      </c>
      <c r="D17" s="16" t="s">
        <v>732</v>
      </c>
      <c r="E17" s="14" t="s">
        <v>697</v>
      </c>
      <c r="F17" s="14" t="s">
        <v>581</v>
      </c>
      <c r="G17" s="21" t="s">
        <v>36</v>
      </c>
      <c r="H17" s="14" t="s">
        <v>552</v>
      </c>
      <c r="I17" s="16" t="s">
        <v>733</v>
      </c>
    </row>
    <row r="18" spans="1:9" x14ac:dyDescent="0.25">
      <c r="A18" s="18" t="s">
        <v>734</v>
      </c>
      <c r="B18" s="18" t="s">
        <v>641</v>
      </c>
      <c r="C18" s="18" t="s">
        <v>594</v>
      </c>
      <c r="D18" s="20" t="s">
        <v>735</v>
      </c>
      <c r="E18" s="18" t="s">
        <v>697</v>
      </c>
      <c r="F18" s="18" t="s">
        <v>581</v>
      </c>
      <c r="G18" s="22" t="s">
        <v>36</v>
      </c>
      <c r="H18" s="18" t="s">
        <v>552</v>
      </c>
      <c r="I18" s="20" t="s">
        <v>736</v>
      </c>
    </row>
    <row r="19" spans="1:9" x14ac:dyDescent="0.25">
      <c r="A19" s="14" t="s">
        <v>737</v>
      </c>
      <c r="B19" s="14" t="s">
        <v>738</v>
      </c>
      <c r="C19" s="14" t="s">
        <v>726</v>
      </c>
      <c r="D19" s="16" t="s">
        <v>739</v>
      </c>
      <c r="E19" s="14" t="s">
        <v>697</v>
      </c>
      <c r="F19" s="14" t="s">
        <v>581</v>
      </c>
      <c r="G19" s="21" t="s">
        <v>36</v>
      </c>
      <c r="H19" s="14" t="s">
        <v>552</v>
      </c>
      <c r="I19" s="16" t="s">
        <v>740</v>
      </c>
    </row>
    <row r="20" spans="1:9" ht="25.5" x14ac:dyDescent="0.25">
      <c r="A20" s="18" t="s">
        <v>741</v>
      </c>
      <c r="B20" s="18" t="s">
        <v>742</v>
      </c>
      <c r="C20" s="18" t="s">
        <v>726</v>
      </c>
      <c r="D20" s="20" t="s">
        <v>743</v>
      </c>
      <c r="E20" s="18" t="s">
        <v>697</v>
      </c>
      <c r="F20" s="18" t="s">
        <v>581</v>
      </c>
      <c r="G20" s="22" t="s">
        <v>36</v>
      </c>
      <c r="H20" s="18" t="s">
        <v>552</v>
      </c>
      <c r="I20" s="20" t="s">
        <v>744</v>
      </c>
    </row>
    <row r="21" spans="1:9" ht="25.5" x14ac:dyDescent="0.25">
      <c r="A21" s="14" t="s">
        <v>745</v>
      </c>
      <c r="B21" s="14" t="s">
        <v>746</v>
      </c>
      <c r="C21" s="14" t="s">
        <v>747</v>
      </c>
      <c r="D21" s="16" t="s">
        <v>218</v>
      </c>
      <c r="E21" s="14" t="s">
        <v>748</v>
      </c>
      <c r="F21" s="14" t="s">
        <v>581</v>
      </c>
      <c r="G21" s="21" t="s">
        <v>36</v>
      </c>
      <c r="H21" s="14" t="s">
        <v>552</v>
      </c>
      <c r="I21" s="16" t="s">
        <v>749</v>
      </c>
    </row>
    <row r="22" spans="1:9" x14ac:dyDescent="0.25">
      <c r="A22" s="18" t="s">
        <v>750</v>
      </c>
      <c r="B22" s="18" t="s">
        <v>751</v>
      </c>
      <c r="C22" s="18" t="s">
        <v>752</v>
      </c>
      <c r="D22" s="20" t="s">
        <v>753</v>
      </c>
      <c r="E22" s="18" t="s">
        <v>697</v>
      </c>
      <c r="F22" s="18" t="s">
        <v>581</v>
      </c>
      <c r="G22" s="22" t="s">
        <v>36</v>
      </c>
      <c r="H22" s="18" t="s">
        <v>552</v>
      </c>
      <c r="I22" s="20" t="s">
        <v>754</v>
      </c>
    </row>
  </sheetData>
  <mergeCells count="1">
    <mergeCell ref="A2:I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00000"/>
  </sheetPr>
  <dimension ref="A1:O32"/>
  <sheetViews>
    <sheetView topLeftCell="C1" workbookViewId="0">
      <selection activeCell="L8" sqref="L8"/>
    </sheetView>
  </sheetViews>
  <sheetFormatPr defaultColWidth="8.7109375" defaultRowHeight="15" x14ac:dyDescent="0.25"/>
  <cols>
    <col min="1" max="1" width="8" customWidth="1"/>
    <col min="2" max="2" width="26" customWidth="1"/>
    <col min="3" max="3" width="44" customWidth="1"/>
    <col min="4" max="4" width="30" customWidth="1"/>
    <col min="5" max="5" width="12" customWidth="1"/>
    <col min="6" max="6" width="14" customWidth="1"/>
    <col min="7" max="7" width="10" customWidth="1"/>
    <col min="8" max="8" width="12" customWidth="1"/>
    <col min="9" max="9" width="40" customWidth="1"/>
    <col min="10" max="10" width="20" customWidth="1"/>
    <col min="11" max="11" width="12" customWidth="1"/>
    <col min="12" max="12" width="24" customWidth="1"/>
    <col min="13" max="13" width="46" customWidth="1"/>
    <col min="14" max="14" width="48" customWidth="1"/>
    <col min="15" max="15" width="22" customWidth="1"/>
  </cols>
  <sheetData>
    <row r="1" spans="1:15" ht="20.25" x14ac:dyDescent="0.3">
      <c r="A1" s="3" t="s">
        <v>755</v>
      </c>
    </row>
    <row r="2" spans="1:15" ht="30" customHeight="1" x14ac:dyDescent="0.25">
      <c r="A2" s="2" t="s">
        <v>756</v>
      </c>
      <c r="B2" s="2"/>
      <c r="C2" s="2"/>
      <c r="D2" s="2"/>
      <c r="E2" s="2"/>
      <c r="F2" s="2"/>
      <c r="G2" s="2"/>
      <c r="H2" s="2"/>
      <c r="I2" s="2"/>
    </row>
    <row r="4" spans="1:15" ht="27.75" customHeight="1" x14ac:dyDescent="0.25">
      <c r="A4" s="12" t="s">
        <v>531</v>
      </c>
      <c r="B4" s="12" t="s">
        <v>757</v>
      </c>
      <c r="C4" s="12" t="s">
        <v>758</v>
      </c>
      <c r="D4" s="12" t="s">
        <v>759</v>
      </c>
      <c r="E4" s="12" t="s">
        <v>760</v>
      </c>
      <c r="F4" s="12" t="s">
        <v>761</v>
      </c>
      <c r="G4" s="12" t="s">
        <v>89</v>
      </c>
      <c r="H4" s="12" t="s">
        <v>536</v>
      </c>
      <c r="I4" s="12" t="s">
        <v>95</v>
      </c>
      <c r="J4" s="28" t="s">
        <v>1317</v>
      </c>
      <c r="K4" s="28" t="s">
        <v>1318</v>
      </c>
      <c r="L4" s="28" t="s">
        <v>1319</v>
      </c>
      <c r="M4" s="28" t="s">
        <v>1320</v>
      </c>
      <c r="N4" s="28" t="s">
        <v>1321</v>
      </c>
      <c r="O4" s="28" t="s">
        <v>1322</v>
      </c>
    </row>
    <row r="5" spans="1:15" ht="51" x14ac:dyDescent="0.25">
      <c r="A5" s="14" t="s">
        <v>762</v>
      </c>
      <c r="B5" s="14" t="s">
        <v>175</v>
      </c>
      <c r="C5" s="16" t="s">
        <v>763</v>
      </c>
      <c r="D5" s="16" t="s">
        <v>764</v>
      </c>
      <c r="E5" s="21" t="s">
        <v>765</v>
      </c>
      <c r="F5" s="14" t="s">
        <v>766</v>
      </c>
      <c r="G5" s="14" t="s">
        <v>767</v>
      </c>
      <c r="H5" s="14" t="s">
        <v>541</v>
      </c>
      <c r="I5" s="16" t="s">
        <v>768</v>
      </c>
      <c r="J5" s="29" t="s">
        <v>1323</v>
      </c>
      <c r="K5" s="29" t="s">
        <v>1324</v>
      </c>
      <c r="L5" s="29" t="s">
        <v>1325</v>
      </c>
      <c r="M5" s="29" t="s">
        <v>1326</v>
      </c>
      <c r="N5" s="29" t="s">
        <v>1327</v>
      </c>
      <c r="O5" s="29" t="s">
        <v>1328</v>
      </c>
    </row>
    <row r="6" spans="1:15" ht="25.5" x14ac:dyDescent="0.25">
      <c r="A6" s="18" t="s">
        <v>769</v>
      </c>
      <c r="B6" s="18" t="s">
        <v>175</v>
      </c>
      <c r="C6" s="20" t="s">
        <v>770</v>
      </c>
      <c r="D6" s="20" t="s">
        <v>581</v>
      </c>
      <c r="E6" s="22" t="s">
        <v>765</v>
      </c>
      <c r="F6" s="18" t="s">
        <v>771</v>
      </c>
      <c r="G6" s="18" t="s">
        <v>767</v>
      </c>
      <c r="H6" s="18" t="s">
        <v>541</v>
      </c>
      <c r="I6" s="20" t="s">
        <v>772</v>
      </c>
      <c r="J6" s="29" t="s">
        <v>1323</v>
      </c>
      <c r="K6" s="29" t="s">
        <v>1324</v>
      </c>
      <c r="L6" s="29" t="s">
        <v>1329</v>
      </c>
      <c r="M6" s="29" t="s">
        <v>1330</v>
      </c>
      <c r="N6" s="29" t="s">
        <v>1331</v>
      </c>
      <c r="O6" s="29" t="s">
        <v>1328</v>
      </c>
    </row>
    <row r="7" spans="1:15" ht="38.25" x14ac:dyDescent="0.25">
      <c r="A7" s="14" t="s">
        <v>773</v>
      </c>
      <c r="B7" s="14" t="s">
        <v>774</v>
      </c>
      <c r="C7" s="16" t="s">
        <v>775</v>
      </c>
      <c r="D7" s="16" t="s">
        <v>776</v>
      </c>
      <c r="E7" s="21" t="s">
        <v>765</v>
      </c>
      <c r="F7" s="14" t="s">
        <v>766</v>
      </c>
      <c r="G7" s="14" t="s">
        <v>767</v>
      </c>
      <c r="H7" s="14" t="s">
        <v>541</v>
      </c>
      <c r="I7" s="16" t="s">
        <v>777</v>
      </c>
      <c r="J7" s="29" t="s">
        <v>1323</v>
      </c>
      <c r="K7" s="29" t="s">
        <v>1324</v>
      </c>
      <c r="L7" s="29" t="s">
        <v>175</v>
      </c>
      <c r="M7" s="29" t="s">
        <v>1332</v>
      </c>
      <c r="N7" s="29" t="s">
        <v>1333</v>
      </c>
      <c r="O7" s="29" t="s">
        <v>1328</v>
      </c>
    </row>
    <row r="8" spans="1:15" ht="25.5" x14ac:dyDescent="0.25">
      <c r="A8" s="18" t="s">
        <v>778</v>
      </c>
      <c r="B8" s="18" t="s">
        <v>779</v>
      </c>
      <c r="C8" s="20" t="s">
        <v>780</v>
      </c>
      <c r="D8" s="20" t="s">
        <v>781</v>
      </c>
      <c r="E8" s="24" t="s">
        <v>607</v>
      </c>
      <c r="F8" s="18" t="s">
        <v>782</v>
      </c>
      <c r="G8" s="18" t="s">
        <v>767</v>
      </c>
      <c r="H8" s="18" t="s">
        <v>541</v>
      </c>
      <c r="I8" s="20" t="s">
        <v>783</v>
      </c>
      <c r="J8" s="29" t="s">
        <v>1323</v>
      </c>
      <c r="K8" s="29" t="s">
        <v>1324</v>
      </c>
      <c r="L8" s="29" t="s">
        <v>1334</v>
      </c>
      <c r="M8" s="29" t="s">
        <v>1335</v>
      </c>
      <c r="N8" s="29" t="s">
        <v>1336</v>
      </c>
      <c r="O8" s="29" t="s">
        <v>1337</v>
      </c>
    </row>
    <row r="9" spans="1:15" ht="25.5" x14ac:dyDescent="0.25">
      <c r="A9" s="14" t="s">
        <v>784</v>
      </c>
      <c r="B9" s="14" t="s">
        <v>785</v>
      </c>
      <c r="C9" s="16" t="s">
        <v>786</v>
      </c>
      <c r="D9" s="16" t="s">
        <v>787</v>
      </c>
      <c r="E9" s="23" t="s">
        <v>607</v>
      </c>
      <c r="F9" s="14" t="s">
        <v>782</v>
      </c>
      <c r="G9" s="14" t="s">
        <v>767</v>
      </c>
      <c r="H9" s="14" t="s">
        <v>541</v>
      </c>
      <c r="I9" s="16" t="s">
        <v>788</v>
      </c>
      <c r="J9" s="29" t="s">
        <v>1323</v>
      </c>
      <c r="K9" s="29" t="s">
        <v>1324</v>
      </c>
      <c r="L9" s="29" t="s">
        <v>1334</v>
      </c>
      <c r="M9" s="29" t="s">
        <v>1338</v>
      </c>
      <c r="N9" s="29" t="s">
        <v>1339</v>
      </c>
      <c r="O9" s="29" t="s">
        <v>1340</v>
      </c>
    </row>
    <row r="10" spans="1:15" ht="25.5" x14ac:dyDescent="0.25">
      <c r="A10" s="18" t="s">
        <v>789</v>
      </c>
      <c r="B10" s="18" t="s">
        <v>790</v>
      </c>
      <c r="C10" s="20" t="s">
        <v>791</v>
      </c>
      <c r="D10" s="20" t="s">
        <v>792</v>
      </c>
      <c r="E10" s="24" t="s">
        <v>607</v>
      </c>
      <c r="F10" s="18" t="s">
        <v>782</v>
      </c>
      <c r="G10" s="18" t="s">
        <v>767</v>
      </c>
      <c r="H10" s="18" t="s">
        <v>541</v>
      </c>
      <c r="I10" s="20" t="s">
        <v>793</v>
      </c>
      <c r="J10" s="29" t="s">
        <v>1323</v>
      </c>
      <c r="K10" s="29" t="s">
        <v>1324</v>
      </c>
      <c r="L10" s="29" t="s">
        <v>1341</v>
      </c>
      <c r="M10" s="29" t="s">
        <v>1342</v>
      </c>
      <c r="N10" s="29" t="s">
        <v>1343</v>
      </c>
      <c r="O10" s="29" t="s">
        <v>1340</v>
      </c>
    </row>
    <row r="11" spans="1:15" ht="76.5" x14ac:dyDescent="0.25">
      <c r="A11" s="14" t="s">
        <v>794</v>
      </c>
      <c r="B11" s="14" t="s">
        <v>795</v>
      </c>
      <c r="C11" s="16" t="s">
        <v>796</v>
      </c>
      <c r="D11" s="16" t="s">
        <v>581</v>
      </c>
      <c r="E11" s="14" t="s">
        <v>797</v>
      </c>
      <c r="F11" s="14" t="s">
        <v>581</v>
      </c>
      <c r="G11" s="14" t="s">
        <v>797</v>
      </c>
      <c r="H11" s="14" t="s">
        <v>541</v>
      </c>
      <c r="I11" s="16" t="s">
        <v>798</v>
      </c>
      <c r="J11" s="29" t="s">
        <v>1344</v>
      </c>
      <c r="K11" s="29" t="s">
        <v>1345</v>
      </c>
      <c r="L11" s="29" t="s">
        <v>1346</v>
      </c>
      <c r="M11" s="29" t="s">
        <v>1347</v>
      </c>
      <c r="N11" s="29" t="s">
        <v>1348</v>
      </c>
      <c r="O11" s="29" t="s">
        <v>1349</v>
      </c>
    </row>
    <row r="12" spans="1:15" ht="38.25" x14ac:dyDescent="0.25">
      <c r="A12" s="18" t="s">
        <v>799</v>
      </c>
      <c r="B12" s="18" t="s">
        <v>495</v>
      </c>
      <c r="C12" s="20" t="s">
        <v>800</v>
      </c>
      <c r="D12" s="20" t="s">
        <v>801</v>
      </c>
      <c r="E12" s="24" t="s">
        <v>607</v>
      </c>
      <c r="F12" s="18" t="s">
        <v>766</v>
      </c>
      <c r="G12" s="18" t="s">
        <v>767</v>
      </c>
      <c r="H12" s="18" t="s">
        <v>541</v>
      </c>
      <c r="I12" s="20" t="s">
        <v>802</v>
      </c>
      <c r="J12" s="29" t="s">
        <v>1344</v>
      </c>
      <c r="K12" s="29" t="s">
        <v>1345</v>
      </c>
      <c r="L12" s="29" t="s">
        <v>1350</v>
      </c>
      <c r="M12" s="29" t="s">
        <v>1351</v>
      </c>
      <c r="N12" s="29" t="s">
        <v>1352</v>
      </c>
      <c r="O12" s="29" t="s">
        <v>1349</v>
      </c>
    </row>
    <row r="13" spans="1:15" ht="25.5" x14ac:dyDescent="0.25">
      <c r="A13" s="14" t="s">
        <v>803</v>
      </c>
      <c r="B13" s="14" t="s">
        <v>804</v>
      </c>
      <c r="C13" s="16" t="s">
        <v>805</v>
      </c>
      <c r="D13" s="16" t="s">
        <v>806</v>
      </c>
      <c r="E13" s="23" t="s">
        <v>607</v>
      </c>
      <c r="F13" s="14" t="s">
        <v>807</v>
      </c>
      <c r="G13" s="14" t="s">
        <v>767</v>
      </c>
      <c r="H13" s="14" t="s">
        <v>808</v>
      </c>
      <c r="I13" s="16" t="s">
        <v>809</v>
      </c>
      <c r="J13" s="29" t="s">
        <v>1353</v>
      </c>
      <c r="K13" s="29" t="s">
        <v>1354</v>
      </c>
      <c r="L13" s="29" t="s">
        <v>1334</v>
      </c>
      <c r="M13" s="29" t="s">
        <v>1355</v>
      </c>
      <c r="N13" s="29" t="s">
        <v>1356</v>
      </c>
      <c r="O13" s="29" t="s">
        <v>1357</v>
      </c>
    </row>
    <row r="14" spans="1:15" ht="38.25" x14ac:dyDescent="0.25">
      <c r="A14" s="18" t="s">
        <v>810</v>
      </c>
      <c r="B14" s="18" t="s">
        <v>804</v>
      </c>
      <c r="C14" s="20" t="s">
        <v>811</v>
      </c>
      <c r="D14" s="20" t="s">
        <v>812</v>
      </c>
      <c r="E14" s="24" t="s">
        <v>607</v>
      </c>
      <c r="F14" s="18" t="s">
        <v>807</v>
      </c>
      <c r="G14" s="18" t="s">
        <v>767</v>
      </c>
      <c r="H14" s="18" t="s">
        <v>541</v>
      </c>
      <c r="I14" s="20" t="s">
        <v>813</v>
      </c>
      <c r="J14" s="29" t="s">
        <v>1323</v>
      </c>
      <c r="K14" s="29" t="s">
        <v>1324</v>
      </c>
      <c r="L14" s="29" t="s">
        <v>1334</v>
      </c>
      <c r="M14" s="29" t="s">
        <v>1358</v>
      </c>
      <c r="N14" s="29" t="s">
        <v>1359</v>
      </c>
      <c r="O14" s="29" t="s">
        <v>1337</v>
      </c>
    </row>
    <row r="15" spans="1:15" ht="25.5" x14ac:dyDescent="0.25">
      <c r="A15" s="14" t="s">
        <v>814</v>
      </c>
      <c r="B15" s="14" t="s">
        <v>456</v>
      </c>
      <c r="C15" s="16" t="s">
        <v>815</v>
      </c>
      <c r="D15" s="16" t="s">
        <v>816</v>
      </c>
      <c r="E15" s="23" t="s">
        <v>607</v>
      </c>
      <c r="F15" s="14" t="s">
        <v>817</v>
      </c>
      <c r="G15" s="14" t="s">
        <v>767</v>
      </c>
      <c r="H15" s="14" t="s">
        <v>541</v>
      </c>
      <c r="I15" s="16" t="s">
        <v>818</v>
      </c>
      <c r="J15" s="29" t="s">
        <v>1323</v>
      </c>
      <c r="K15" s="29" t="s">
        <v>1324</v>
      </c>
      <c r="L15" s="29" t="s">
        <v>1360</v>
      </c>
      <c r="M15" s="29" t="s">
        <v>1361</v>
      </c>
      <c r="N15" s="29" t="s">
        <v>1362</v>
      </c>
      <c r="O15" s="29" t="s">
        <v>1337</v>
      </c>
    </row>
    <row r="16" spans="1:15" ht="25.5" x14ac:dyDescent="0.25">
      <c r="A16" s="18" t="s">
        <v>819</v>
      </c>
      <c r="B16" s="18" t="s">
        <v>804</v>
      </c>
      <c r="C16" s="20" t="s">
        <v>820</v>
      </c>
      <c r="D16" s="20" t="s">
        <v>821</v>
      </c>
      <c r="E16" s="18" t="s">
        <v>817</v>
      </c>
      <c r="F16" s="18" t="s">
        <v>807</v>
      </c>
      <c r="G16" s="18" t="s">
        <v>767</v>
      </c>
      <c r="H16" s="18" t="s">
        <v>541</v>
      </c>
      <c r="I16" s="20" t="s">
        <v>822</v>
      </c>
      <c r="J16" s="29" t="s">
        <v>1353</v>
      </c>
      <c r="K16" s="29" t="s">
        <v>1354</v>
      </c>
      <c r="L16" s="29" t="s">
        <v>1334</v>
      </c>
      <c r="M16" s="29" t="s">
        <v>1363</v>
      </c>
      <c r="N16" s="29" t="s">
        <v>1364</v>
      </c>
      <c r="O16" s="29" t="s">
        <v>1357</v>
      </c>
    </row>
    <row r="17" spans="1:15" ht="25.5" x14ac:dyDescent="0.25">
      <c r="A17" s="14" t="s">
        <v>823</v>
      </c>
      <c r="B17" s="14" t="s">
        <v>795</v>
      </c>
      <c r="C17" s="16" t="s">
        <v>824</v>
      </c>
      <c r="D17" s="16" t="s">
        <v>825</v>
      </c>
      <c r="E17" s="14" t="s">
        <v>817</v>
      </c>
      <c r="F17" s="14" t="s">
        <v>817</v>
      </c>
      <c r="G17" s="14" t="s">
        <v>767</v>
      </c>
      <c r="H17" s="14" t="s">
        <v>541</v>
      </c>
      <c r="I17" s="16" t="s">
        <v>826</v>
      </c>
      <c r="J17" s="29" t="s">
        <v>1344</v>
      </c>
      <c r="K17" s="29" t="s">
        <v>1345</v>
      </c>
      <c r="L17" s="29" t="s">
        <v>1346</v>
      </c>
      <c r="M17" s="29" t="s">
        <v>1365</v>
      </c>
      <c r="N17" s="29" t="s">
        <v>1366</v>
      </c>
      <c r="O17" s="29" t="s">
        <v>1349</v>
      </c>
    </row>
    <row r="18" spans="1:15" ht="24" x14ac:dyDescent="0.25">
      <c r="A18" s="18" t="s">
        <v>827</v>
      </c>
      <c r="B18" s="18" t="s">
        <v>795</v>
      </c>
      <c r="C18" s="20" t="s">
        <v>828</v>
      </c>
      <c r="D18" s="20" t="s">
        <v>829</v>
      </c>
      <c r="E18" s="18" t="s">
        <v>817</v>
      </c>
      <c r="F18" s="18" t="s">
        <v>817</v>
      </c>
      <c r="G18" s="18" t="s">
        <v>767</v>
      </c>
      <c r="H18" s="18" t="s">
        <v>552</v>
      </c>
      <c r="I18" s="20" t="s">
        <v>830</v>
      </c>
      <c r="J18" s="29" t="s">
        <v>1344</v>
      </c>
      <c r="K18" s="29" t="s">
        <v>1345</v>
      </c>
      <c r="L18" s="29" t="s">
        <v>1346</v>
      </c>
      <c r="M18" s="29" t="s">
        <v>1367</v>
      </c>
      <c r="N18" s="29" t="s">
        <v>1368</v>
      </c>
      <c r="O18" s="29" t="s">
        <v>1349</v>
      </c>
    </row>
    <row r="19" spans="1:15" ht="25.5" x14ac:dyDescent="0.25">
      <c r="A19" s="14" t="s">
        <v>831</v>
      </c>
      <c r="B19" s="14" t="s">
        <v>832</v>
      </c>
      <c r="C19" s="16" t="s">
        <v>833</v>
      </c>
      <c r="D19" s="16" t="s">
        <v>834</v>
      </c>
      <c r="E19" s="14" t="s">
        <v>817</v>
      </c>
      <c r="F19" s="14" t="s">
        <v>807</v>
      </c>
      <c r="G19" s="14" t="s">
        <v>767</v>
      </c>
      <c r="H19" s="14" t="s">
        <v>808</v>
      </c>
      <c r="I19" s="16" t="s">
        <v>835</v>
      </c>
      <c r="J19" s="29" t="s">
        <v>1369</v>
      </c>
      <c r="K19" s="29" t="s">
        <v>1370</v>
      </c>
      <c r="L19" s="29" t="s">
        <v>1371</v>
      </c>
      <c r="M19" s="29" t="s">
        <v>1372</v>
      </c>
      <c r="N19" s="29" t="s">
        <v>1373</v>
      </c>
      <c r="O19" s="29" t="s">
        <v>1349</v>
      </c>
    </row>
    <row r="20" spans="1:15" ht="25.5" x14ac:dyDescent="0.25">
      <c r="A20" s="18" t="s">
        <v>836</v>
      </c>
      <c r="B20" s="18" t="s">
        <v>832</v>
      </c>
      <c r="C20" s="20" t="s">
        <v>837</v>
      </c>
      <c r="D20" s="20" t="s">
        <v>838</v>
      </c>
      <c r="E20" s="18" t="s">
        <v>672</v>
      </c>
      <c r="F20" s="18" t="s">
        <v>807</v>
      </c>
      <c r="G20" s="18" t="s">
        <v>767</v>
      </c>
      <c r="H20" s="18" t="s">
        <v>808</v>
      </c>
      <c r="I20" s="20" t="s">
        <v>839</v>
      </c>
      <c r="J20" s="29" t="s">
        <v>1369</v>
      </c>
      <c r="K20" s="29" t="s">
        <v>1370</v>
      </c>
      <c r="L20" s="29" t="s">
        <v>1374</v>
      </c>
      <c r="M20" s="29" t="s">
        <v>1375</v>
      </c>
      <c r="N20" s="29" t="s">
        <v>1376</v>
      </c>
      <c r="O20" s="29" t="s">
        <v>1349</v>
      </c>
    </row>
    <row r="21" spans="1:15" ht="51" x14ac:dyDescent="0.25">
      <c r="A21" s="14" t="s">
        <v>840</v>
      </c>
      <c r="B21" s="14" t="s">
        <v>466</v>
      </c>
      <c r="C21" s="16" t="s">
        <v>841</v>
      </c>
      <c r="D21" s="16" t="s">
        <v>842</v>
      </c>
      <c r="E21" s="14" t="s">
        <v>672</v>
      </c>
      <c r="F21" s="14" t="s">
        <v>766</v>
      </c>
      <c r="G21" s="14" t="s">
        <v>767</v>
      </c>
      <c r="H21" s="14" t="s">
        <v>541</v>
      </c>
      <c r="I21" s="16" t="s">
        <v>843</v>
      </c>
      <c r="J21" s="29" t="s">
        <v>1344</v>
      </c>
      <c r="K21" s="29" t="s">
        <v>1345</v>
      </c>
      <c r="L21" s="29" t="s">
        <v>1350</v>
      </c>
      <c r="M21" s="29" t="s">
        <v>1377</v>
      </c>
      <c r="N21" s="29" t="s">
        <v>1378</v>
      </c>
      <c r="O21" s="29" t="s">
        <v>1349</v>
      </c>
    </row>
    <row r="22" spans="1:15" ht="25.5" x14ac:dyDescent="0.25">
      <c r="A22" s="18" t="s">
        <v>844</v>
      </c>
      <c r="B22" s="18" t="s">
        <v>804</v>
      </c>
      <c r="C22" s="20" t="s">
        <v>845</v>
      </c>
      <c r="D22" s="20" t="s">
        <v>846</v>
      </c>
      <c r="E22" s="18" t="s">
        <v>672</v>
      </c>
      <c r="F22" s="18" t="s">
        <v>771</v>
      </c>
      <c r="G22" s="18" t="s">
        <v>767</v>
      </c>
      <c r="H22" s="18" t="s">
        <v>541</v>
      </c>
      <c r="I22" s="20" t="s">
        <v>847</v>
      </c>
      <c r="J22" s="29" t="s">
        <v>1353</v>
      </c>
      <c r="K22" s="29" t="s">
        <v>1354</v>
      </c>
      <c r="L22" s="29" t="s">
        <v>1379</v>
      </c>
      <c r="M22" s="29" t="s">
        <v>1380</v>
      </c>
      <c r="N22" s="29" t="s">
        <v>1381</v>
      </c>
      <c r="O22" s="29" t="s">
        <v>1357</v>
      </c>
    </row>
    <row r="23" spans="1:15" ht="48" customHeight="1" x14ac:dyDescent="0.25">
      <c r="A23" s="30" t="s">
        <v>1382</v>
      </c>
      <c r="B23" s="30" t="s">
        <v>804</v>
      </c>
      <c r="C23" s="30" t="s">
        <v>1383</v>
      </c>
      <c r="D23" s="30" t="s">
        <v>1384</v>
      </c>
      <c r="E23" s="30" t="s">
        <v>607</v>
      </c>
      <c r="F23" s="30" t="s">
        <v>782</v>
      </c>
      <c r="G23" s="30" t="s">
        <v>767</v>
      </c>
      <c r="H23" s="30" t="s">
        <v>552</v>
      </c>
      <c r="I23" s="30" t="s">
        <v>1385</v>
      </c>
      <c r="J23" s="29" t="s">
        <v>1353</v>
      </c>
      <c r="K23" s="29" t="s">
        <v>1354</v>
      </c>
      <c r="L23" s="29" t="s">
        <v>1386</v>
      </c>
      <c r="M23" s="29" t="s">
        <v>1387</v>
      </c>
      <c r="N23" s="29" t="s">
        <v>1388</v>
      </c>
      <c r="O23" s="29" t="s">
        <v>1340</v>
      </c>
    </row>
    <row r="24" spans="1:15" ht="48" customHeight="1" x14ac:dyDescent="0.25">
      <c r="A24" s="30" t="s">
        <v>1389</v>
      </c>
      <c r="B24" s="30" t="s">
        <v>779</v>
      </c>
      <c r="C24" s="30" t="s">
        <v>1390</v>
      </c>
      <c r="D24" s="30" t="s">
        <v>1391</v>
      </c>
      <c r="E24" s="30" t="s">
        <v>607</v>
      </c>
      <c r="F24" s="30" t="s">
        <v>782</v>
      </c>
      <c r="G24" s="30" t="s">
        <v>767</v>
      </c>
      <c r="H24" s="30" t="s">
        <v>541</v>
      </c>
      <c r="I24" s="30" t="s">
        <v>1392</v>
      </c>
      <c r="J24" s="29" t="s">
        <v>1353</v>
      </c>
      <c r="K24" s="29" t="s">
        <v>1354</v>
      </c>
      <c r="L24" s="29" t="s">
        <v>1334</v>
      </c>
      <c r="M24" s="29" t="s">
        <v>1393</v>
      </c>
      <c r="N24" s="29" t="s">
        <v>1394</v>
      </c>
      <c r="O24" s="29" t="s">
        <v>1337</v>
      </c>
    </row>
    <row r="25" spans="1:15" ht="48" customHeight="1" x14ac:dyDescent="0.25">
      <c r="A25" s="30" t="s">
        <v>1395</v>
      </c>
      <c r="B25" s="30" t="s">
        <v>804</v>
      </c>
      <c r="C25" s="30" t="s">
        <v>1396</v>
      </c>
      <c r="D25" s="30" t="s">
        <v>1397</v>
      </c>
      <c r="E25" s="30" t="s">
        <v>607</v>
      </c>
      <c r="F25" s="30" t="s">
        <v>817</v>
      </c>
      <c r="G25" s="30" t="s">
        <v>767</v>
      </c>
      <c r="H25" s="30" t="s">
        <v>552</v>
      </c>
      <c r="I25" s="30" t="s">
        <v>1398</v>
      </c>
      <c r="J25" s="29" t="s">
        <v>1369</v>
      </c>
      <c r="K25" s="29" t="s">
        <v>1354</v>
      </c>
      <c r="L25" s="29" t="s">
        <v>1399</v>
      </c>
      <c r="M25" s="29" t="s">
        <v>1400</v>
      </c>
      <c r="N25" s="29" t="s">
        <v>1401</v>
      </c>
      <c r="O25" s="29" t="s">
        <v>1357</v>
      </c>
    </row>
    <row r="26" spans="1:15" ht="48" customHeight="1" x14ac:dyDescent="0.25">
      <c r="A26" s="30" t="s">
        <v>1402</v>
      </c>
      <c r="B26" s="30" t="s">
        <v>804</v>
      </c>
      <c r="C26" s="30" t="s">
        <v>1403</v>
      </c>
      <c r="D26" s="30" t="s">
        <v>1404</v>
      </c>
      <c r="E26" s="30" t="s">
        <v>607</v>
      </c>
      <c r="F26" s="30" t="s">
        <v>817</v>
      </c>
      <c r="G26" s="30" t="s">
        <v>767</v>
      </c>
      <c r="H26" s="30" t="s">
        <v>552</v>
      </c>
      <c r="I26" s="30" t="s">
        <v>1405</v>
      </c>
      <c r="J26" s="29" t="s">
        <v>1353</v>
      </c>
      <c r="K26" s="29" t="s">
        <v>1354</v>
      </c>
      <c r="L26" s="29" t="s">
        <v>1379</v>
      </c>
      <c r="M26" s="29" t="s">
        <v>1406</v>
      </c>
      <c r="N26" s="29" t="s">
        <v>1407</v>
      </c>
      <c r="O26" s="29" t="s">
        <v>1357</v>
      </c>
    </row>
    <row r="27" spans="1:15" ht="48" customHeight="1" x14ac:dyDescent="0.25">
      <c r="A27" s="30" t="s">
        <v>1408</v>
      </c>
      <c r="B27" s="30" t="s">
        <v>804</v>
      </c>
      <c r="C27" s="30" t="s">
        <v>1409</v>
      </c>
      <c r="D27" s="30" t="s">
        <v>1410</v>
      </c>
      <c r="E27" s="30" t="s">
        <v>607</v>
      </c>
      <c r="F27" s="30" t="s">
        <v>817</v>
      </c>
      <c r="G27" s="30" t="s">
        <v>767</v>
      </c>
      <c r="H27" s="30" t="s">
        <v>552</v>
      </c>
      <c r="I27" s="30" t="s">
        <v>1411</v>
      </c>
      <c r="J27" s="29" t="s">
        <v>1353</v>
      </c>
      <c r="K27" s="29" t="s">
        <v>1354</v>
      </c>
      <c r="L27" s="29" t="s">
        <v>1379</v>
      </c>
      <c r="M27" s="29" t="s">
        <v>1412</v>
      </c>
      <c r="N27" s="29" t="s">
        <v>1413</v>
      </c>
      <c r="O27" s="29" t="s">
        <v>1357</v>
      </c>
    </row>
    <row r="28" spans="1:15" ht="48" customHeight="1" x14ac:dyDescent="0.25">
      <c r="A28" s="30" t="s">
        <v>1414</v>
      </c>
      <c r="B28" s="30" t="s">
        <v>1415</v>
      </c>
      <c r="C28" s="30" t="s">
        <v>1416</v>
      </c>
      <c r="D28" s="30" t="s">
        <v>1417</v>
      </c>
      <c r="E28" s="30" t="s">
        <v>817</v>
      </c>
      <c r="F28" s="30" t="s">
        <v>817</v>
      </c>
      <c r="G28" s="30" t="s">
        <v>767</v>
      </c>
      <c r="H28" s="30" t="s">
        <v>552</v>
      </c>
      <c r="I28" s="30" t="s">
        <v>1418</v>
      </c>
      <c r="J28" s="29" t="s">
        <v>1369</v>
      </c>
      <c r="K28" s="29" t="s">
        <v>1354</v>
      </c>
      <c r="L28" s="29" t="s">
        <v>1346</v>
      </c>
      <c r="M28" s="29" t="s">
        <v>1419</v>
      </c>
      <c r="N28" s="29" t="s">
        <v>1420</v>
      </c>
      <c r="O28" s="29" t="s">
        <v>1349</v>
      </c>
    </row>
    <row r="29" spans="1:15" ht="48" customHeight="1" x14ac:dyDescent="0.25">
      <c r="A29" s="30" t="s">
        <v>1421</v>
      </c>
      <c r="B29" s="30" t="s">
        <v>401</v>
      </c>
      <c r="C29" s="30" t="s">
        <v>1422</v>
      </c>
      <c r="D29" s="30" t="s">
        <v>1423</v>
      </c>
      <c r="E29" s="30" t="s">
        <v>607</v>
      </c>
      <c r="F29" s="30" t="s">
        <v>817</v>
      </c>
      <c r="G29" s="30" t="s">
        <v>767</v>
      </c>
      <c r="H29" s="30" t="s">
        <v>552</v>
      </c>
      <c r="I29" s="30" t="s">
        <v>1424</v>
      </c>
      <c r="J29" s="29" t="s">
        <v>1353</v>
      </c>
      <c r="K29" s="29" t="s">
        <v>1354</v>
      </c>
      <c r="L29" s="29" t="s">
        <v>1425</v>
      </c>
      <c r="M29" s="29" t="s">
        <v>1426</v>
      </c>
      <c r="N29" s="29" t="s">
        <v>1427</v>
      </c>
      <c r="O29" s="29" t="s">
        <v>1357</v>
      </c>
    </row>
    <row r="30" spans="1:15" ht="48" customHeight="1" x14ac:dyDescent="0.25">
      <c r="A30" s="30" t="s">
        <v>1428</v>
      </c>
      <c r="B30" s="30" t="s">
        <v>1429</v>
      </c>
      <c r="C30" s="30" t="s">
        <v>1430</v>
      </c>
      <c r="D30" s="30" t="s">
        <v>1431</v>
      </c>
      <c r="E30" s="30" t="s">
        <v>817</v>
      </c>
      <c r="F30" s="30" t="s">
        <v>807</v>
      </c>
      <c r="G30" s="30" t="s">
        <v>767</v>
      </c>
      <c r="H30" s="30" t="s">
        <v>552</v>
      </c>
      <c r="I30" s="30" t="s">
        <v>1432</v>
      </c>
      <c r="J30" s="29" t="s">
        <v>1353</v>
      </c>
      <c r="K30" s="29" t="s">
        <v>1354</v>
      </c>
      <c r="L30" s="29" t="s">
        <v>1433</v>
      </c>
      <c r="M30" s="29" t="s">
        <v>1434</v>
      </c>
      <c r="N30" s="29" t="s">
        <v>1435</v>
      </c>
      <c r="O30" s="29" t="s">
        <v>1357</v>
      </c>
    </row>
    <row r="31" spans="1:15" ht="48" customHeight="1" x14ac:dyDescent="0.25">
      <c r="A31" s="30" t="s">
        <v>1436</v>
      </c>
      <c r="B31" s="30" t="s">
        <v>1437</v>
      </c>
      <c r="C31" s="30" t="s">
        <v>1438</v>
      </c>
      <c r="D31" s="30" t="s">
        <v>1439</v>
      </c>
      <c r="E31" s="30" t="s">
        <v>607</v>
      </c>
      <c r="F31" s="30" t="s">
        <v>817</v>
      </c>
      <c r="G31" s="30" t="s">
        <v>767</v>
      </c>
      <c r="H31" s="30" t="s">
        <v>552</v>
      </c>
      <c r="I31" s="30" t="s">
        <v>1440</v>
      </c>
      <c r="J31" s="29" t="s">
        <v>1369</v>
      </c>
      <c r="K31" s="29" t="s">
        <v>1354</v>
      </c>
      <c r="L31" s="29" t="s">
        <v>1441</v>
      </c>
      <c r="M31" s="29" t="s">
        <v>1442</v>
      </c>
      <c r="N31" s="29" t="s">
        <v>1443</v>
      </c>
      <c r="O31" s="29" t="s">
        <v>1357</v>
      </c>
    </row>
    <row r="32" spans="1:15" ht="48" customHeight="1" x14ac:dyDescent="0.25">
      <c r="A32" s="30" t="s">
        <v>1444</v>
      </c>
      <c r="B32" s="30" t="s">
        <v>1445</v>
      </c>
      <c r="C32" s="30" t="s">
        <v>1446</v>
      </c>
      <c r="D32" s="30" t="s">
        <v>1447</v>
      </c>
      <c r="E32" s="30" t="s">
        <v>607</v>
      </c>
      <c r="F32" s="30" t="s">
        <v>817</v>
      </c>
      <c r="G32" s="30" t="s">
        <v>767</v>
      </c>
      <c r="H32" s="30" t="s">
        <v>552</v>
      </c>
      <c r="I32" s="30" t="s">
        <v>1448</v>
      </c>
      <c r="J32" s="29" t="s">
        <v>1369</v>
      </c>
      <c r="K32" s="29" t="s">
        <v>1354</v>
      </c>
      <c r="L32" s="29" t="s">
        <v>1399</v>
      </c>
      <c r="M32" s="29" t="s">
        <v>1449</v>
      </c>
      <c r="N32" s="29" t="s">
        <v>1450</v>
      </c>
      <c r="O32" s="29" t="s">
        <v>1357</v>
      </c>
    </row>
  </sheetData>
  <mergeCells count="1">
    <mergeCell ref="A2:I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8672E"/>
  </sheetPr>
  <dimension ref="A1:O33"/>
  <sheetViews>
    <sheetView workbookViewId="0">
      <selection activeCell="L15" sqref="L15"/>
    </sheetView>
  </sheetViews>
  <sheetFormatPr defaultColWidth="8.7109375" defaultRowHeight="15" x14ac:dyDescent="0.25"/>
  <cols>
    <col min="1" max="1" width="8" customWidth="1"/>
    <col min="2" max="2" width="24" customWidth="1"/>
    <col min="3" max="3" width="46" customWidth="1"/>
    <col min="4" max="4" width="40" customWidth="1"/>
    <col min="5" max="5" width="12" customWidth="1"/>
    <col min="6" max="6" width="22" customWidth="1"/>
    <col min="7" max="7" width="14" customWidth="1"/>
    <col min="8" max="9" width="12" customWidth="1"/>
    <col min="10" max="10" width="18" customWidth="1"/>
    <col min="11" max="11" width="44" customWidth="1"/>
    <col min="12" max="12" width="43" customWidth="1"/>
    <col min="13" max="13" width="30" customWidth="1"/>
    <col min="14" max="14" width="34" customWidth="1"/>
    <col min="15" max="15" width="24" customWidth="1"/>
  </cols>
  <sheetData>
    <row r="1" spans="1:15" ht="20.25" x14ac:dyDescent="0.3">
      <c r="A1" s="3" t="s">
        <v>848</v>
      </c>
    </row>
    <row r="2" spans="1:15" ht="30" customHeight="1" x14ac:dyDescent="0.25">
      <c r="A2" s="2" t="s">
        <v>849</v>
      </c>
      <c r="B2" s="2"/>
      <c r="C2" s="2"/>
      <c r="D2" s="2"/>
      <c r="E2" s="2"/>
      <c r="F2" s="2"/>
      <c r="G2" s="2"/>
      <c r="H2" s="2"/>
      <c r="I2" s="2"/>
    </row>
    <row r="4" spans="1:15" ht="27.75" customHeight="1" x14ac:dyDescent="0.25">
      <c r="A4" s="12" t="s">
        <v>531</v>
      </c>
      <c r="B4" s="12" t="s">
        <v>757</v>
      </c>
      <c r="C4" s="12" t="s">
        <v>850</v>
      </c>
      <c r="D4" s="12" t="s">
        <v>851</v>
      </c>
      <c r="E4" s="12" t="s">
        <v>536</v>
      </c>
      <c r="F4" s="12" t="s">
        <v>852</v>
      </c>
      <c r="G4" s="12" t="s">
        <v>853</v>
      </c>
      <c r="H4" s="12" t="s">
        <v>89</v>
      </c>
      <c r="I4" s="12" t="s">
        <v>854</v>
      </c>
      <c r="J4" s="28" t="s">
        <v>1451</v>
      </c>
      <c r="K4" s="28" t="s">
        <v>1452</v>
      </c>
      <c r="L4" s="28" t="s">
        <v>1453</v>
      </c>
      <c r="M4" s="28" t="s">
        <v>1454</v>
      </c>
      <c r="N4" s="28" t="s">
        <v>1455</v>
      </c>
      <c r="O4" s="28" t="s">
        <v>1456</v>
      </c>
    </row>
    <row r="5" spans="1:15" ht="25.5" x14ac:dyDescent="0.25">
      <c r="A5" s="14" t="s">
        <v>855</v>
      </c>
      <c r="B5" s="14" t="s">
        <v>175</v>
      </c>
      <c r="C5" s="16" t="s">
        <v>856</v>
      </c>
      <c r="D5" s="16" t="s">
        <v>857</v>
      </c>
      <c r="E5" s="14" t="s">
        <v>541</v>
      </c>
      <c r="F5" s="25"/>
      <c r="G5" s="25"/>
      <c r="H5" s="25" t="s">
        <v>767</v>
      </c>
      <c r="I5" s="25"/>
      <c r="J5" s="29" t="s">
        <v>762</v>
      </c>
      <c r="K5" s="29" t="s">
        <v>1457</v>
      </c>
      <c r="L5" s="29" t="s">
        <v>1458</v>
      </c>
      <c r="M5" s="29" t="s">
        <v>1459</v>
      </c>
      <c r="N5" s="29" t="s">
        <v>1460</v>
      </c>
      <c r="O5" s="29" t="s">
        <v>1325</v>
      </c>
    </row>
    <row r="6" spans="1:15" ht="25.5" x14ac:dyDescent="0.25">
      <c r="A6" s="18" t="s">
        <v>858</v>
      </c>
      <c r="B6" s="18" t="s">
        <v>175</v>
      </c>
      <c r="C6" s="20" t="s">
        <v>859</v>
      </c>
      <c r="D6" s="20" t="s">
        <v>860</v>
      </c>
      <c r="E6" s="18" t="s">
        <v>541</v>
      </c>
      <c r="F6" s="25"/>
      <c r="G6" s="25"/>
      <c r="H6" s="25" t="s">
        <v>767</v>
      </c>
      <c r="I6" s="25"/>
      <c r="J6" s="29" t="s">
        <v>769</v>
      </c>
      <c r="K6" s="29" t="s">
        <v>1461</v>
      </c>
      <c r="L6" s="29" t="s">
        <v>1462</v>
      </c>
      <c r="M6" s="29" t="s">
        <v>1459</v>
      </c>
      <c r="N6" s="29" t="s">
        <v>1463</v>
      </c>
      <c r="O6" s="29" t="s">
        <v>1329</v>
      </c>
    </row>
    <row r="7" spans="1:15" ht="25.5" x14ac:dyDescent="0.25">
      <c r="A7" s="14" t="s">
        <v>861</v>
      </c>
      <c r="B7" s="14" t="s">
        <v>774</v>
      </c>
      <c r="C7" s="16" t="s">
        <v>862</v>
      </c>
      <c r="D7" s="16" t="s">
        <v>863</v>
      </c>
      <c r="E7" s="14" t="s">
        <v>541</v>
      </c>
      <c r="F7" s="25"/>
      <c r="G7" s="25"/>
      <c r="H7" s="25" t="s">
        <v>767</v>
      </c>
      <c r="I7" s="25"/>
      <c r="J7" s="29" t="s">
        <v>773</v>
      </c>
      <c r="K7" s="29" t="s">
        <v>1464</v>
      </c>
      <c r="L7" s="29" t="s">
        <v>1465</v>
      </c>
      <c r="M7" s="29" t="s">
        <v>1459</v>
      </c>
      <c r="N7" s="29" t="s">
        <v>1466</v>
      </c>
      <c r="O7" s="29" t="s">
        <v>175</v>
      </c>
    </row>
    <row r="8" spans="1:15" ht="38.25" x14ac:dyDescent="0.25">
      <c r="A8" s="18" t="s">
        <v>864</v>
      </c>
      <c r="B8" s="18" t="s">
        <v>865</v>
      </c>
      <c r="C8" s="20" t="s">
        <v>866</v>
      </c>
      <c r="D8" s="20" t="s">
        <v>867</v>
      </c>
      <c r="E8" s="18" t="s">
        <v>541</v>
      </c>
      <c r="F8" s="25"/>
      <c r="G8" s="25"/>
      <c r="H8" s="25" t="s">
        <v>767</v>
      </c>
      <c r="I8" s="25"/>
      <c r="J8" s="29" t="s">
        <v>762</v>
      </c>
      <c r="K8" s="29" t="s">
        <v>1467</v>
      </c>
      <c r="L8" s="29" t="s">
        <v>1468</v>
      </c>
      <c r="M8" s="29" t="s">
        <v>1469</v>
      </c>
      <c r="N8" s="29" t="s">
        <v>1470</v>
      </c>
      <c r="O8" s="29" t="s">
        <v>1471</v>
      </c>
    </row>
    <row r="9" spans="1:15" ht="36" x14ac:dyDescent="0.25">
      <c r="A9" s="14" t="s">
        <v>868</v>
      </c>
      <c r="B9" s="14" t="s">
        <v>869</v>
      </c>
      <c r="C9" s="16" t="s">
        <v>870</v>
      </c>
      <c r="D9" s="16" t="s">
        <v>871</v>
      </c>
      <c r="E9" s="14" t="s">
        <v>552</v>
      </c>
      <c r="F9" s="25"/>
      <c r="G9" s="25"/>
      <c r="H9" s="25" t="s">
        <v>767</v>
      </c>
      <c r="I9" s="25"/>
      <c r="J9" s="29" t="s">
        <v>1472</v>
      </c>
      <c r="K9" s="29" t="s">
        <v>1473</v>
      </c>
      <c r="L9" s="29" t="s">
        <v>1474</v>
      </c>
      <c r="M9" s="29" t="s">
        <v>1475</v>
      </c>
      <c r="N9" s="29" t="s">
        <v>1476</v>
      </c>
      <c r="O9" s="29" t="s">
        <v>1477</v>
      </c>
    </row>
    <row r="10" spans="1:15" ht="25.5" x14ac:dyDescent="0.25">
      <c r="A10" s="18" t="s">
        <v>872</v>
      </c>
      <c r="B10" s="18" t="s">
        <v>865</v>
      </c>
      <c r="C10" s="20" t="s">
        <v>873</v>
      </c>
      <c r="D10" s="20" t="s">
        <v>874</v>
      </c>
      <c r="E10" s="18" t="s">
        <v>541</v>
      </c>
      <c r="F10" s="25"/>
      <c r="G10" s="25"/>
      <c r="H10" s="25" t="s">
        <v>767</v>
      </c>
      <c r="I10" s="25"/>
      <c r="J10" s="29" t="s">
        <v>1478</v>
      </c>
      <c r="K10" s="29" t="s">
        <v>1479</v>
      </c>
      <c r="L10" s="29" t="s">
        <v>1480</v>
      </c>
      <c r="M10" s="29" t="s">
        <v>1481</v>
      </c>
      <c r="N10" s="29" t="s">
        <v>1482</v>
      </c>
      <c r="O10" s="29" t="s">
        <v>1483</v>
      </c>
    </row>
    <row r="11" spans="1:15" ht="38.25" x14ac:dyDescent="0.25">
      <c r="A11" s="14" t="s">
        <v>875</v>
      </c>
      <c r="B11" s="14" t="s">
        <v>865</v>
      </c>
      <c r="C11" s="16" t="s">
        <v>876</v>
      </c>
      <c r="D11" s="16" t="s">
        <v>877</v>
      </c>
      <c r="E11" s="14" t="s">
        <v>552</v>
      </c>
      <c r="F11" s="25"/>
      <c r="G11" s="25"/>
      <c r="H11" s="25" t="s">
        <v>767</v>
      </c>
      <c r="I11" s="25"/>
      <c r="J11" s="29" t="s">
        <v>1478</v>
      </c>
      <c r="K11" s="29" t="s">
        <v>1484</v>
      </c>
      <c r="L11" s="29" t="s">
        <v>1485</v>
      </c>
      <c r="M11" s="29" t="s">
        <v>1486</v>
      </c>
      <c r="N11" s="29" t="s">
        <v>1487</v>
      </c>
      <c r="O11" s="29" t="s">
        <v>1471</v>
      </c>
    </row>
    <row r="12" spans="1:15" ht="36" x14ac:dyDescent="0.25">
      <c r="A12" s="18" t="s">
        <v>878</v>
      </c>
      <c r="B12" s="18" t="s">
        <v>879</v>
      </c>
      <c r="C12" s="20" t="s">
        <v>880</v>
      </c>
      <c r="D12" s="20" t="s">
        <v>881</v>
      </c>
      <c r="E12" s="18" t="s">
        <v>552</v>
      </c>
      <c r="F12" s="25"/>
      <c r="G12" s="25"/>
      <c r="H12" s="25" t="s">
        <v>767</v>
      </c>
      <c r="I12" s="25"/>
      <c r="J12" s="29" t="s">
        <v>823</v>
      </c>
      <c r="K12" s="29" t="s">
        <v>1488</v>
      </c>
      <c r="L12" s="29" t="s">
        <v>1489</v>
      </c>
      <c r="M12" s="29" t="s">
        <v>1490</v>
      </c>
      <c r="N12" s="29" t="s">
        <v>1491</v>
      </c>
      <c r="O12" s="29" t="s">
        <v>1492</v>
      </c>
    </row>
    <row r="13" spans="1:15" ht="25.5" x14ac:dyDescent="0.25">
      <c r="A13" s="14" t="s">
        <v>882</v>
      </c>
      <c r="B13" s="14" t="s">
        <v>832</v>
      </c>
      <c r="C13" s="16" t="s">
        <v>883</v>
      </c>
      <c r="D13" s="16" t="s">
        <v>884</v>
      </c>
      <c r="E13" s="14" t="s">
        <v>808</v>
      </c>
      <c r="F13" s="25"/>
      <c r="G13" s="25"/>
      <c r="H13" s="25" t="s">
        <v>767</v>
      </c>
      <c r="I13" s="25"/>
      <c r="J13" s="29" t="s">
        <v>831</v>
      </c>
      <c r="K13" s="29" t="s">
        <v>1493</v>
      </c>
      <c r="L13" s="29" t="s">
        <v>1494</v>
      </c>
      <c r="M13" s="29" t="s">
        <v>1495</v>
      </c>
      <c r="N13" s="29" t="s">
        <v>1496</v>
      </c>
      <c r="O13" s="29" t="s">
        <v>1371</v>
      </c>
    </row>
    <row r="14" spans="1:15" ht="38.25" x14ac:dyDescent="0.25">
      <c r="A14" s="18" t="s">
        <v>885</v>
      </c>
      <c r="B14" s="18" t="s">
        <v>886</v>
      </c>
      <c r="C14" s="20" t="s">
        <v>887</v>
      </c>
      <c r="D14" s="20" t="s">
        <v>888</v>
      </c>
      <c r="E14" s="18" t="s">
        <v>808</v>
      </c>
      <c r="F14" s="25"/>
      <c r="G14" s="25"/>
      <c r="H14" s="25" t="s">
        <v>767</v>
      </c>
      <c r="I14" s="25"/>
      <c r="J14" s="29" t="s">
        <v>836</v>
      </c>
      <c r="K14" s="29" t="s">
        <v>1497</v>
      </c>
      <c r="L14" s="29" t="s">
        <v>1498</v>
      </c>
      <c r="M14" s="29" t="s">
        <v>1495</v>
      </c>
      <c r="N14" s="29" t="s">
        <v>1499</v>
      </c>
      <c r="O14" s="29" t="s">
        <v>1374</v>
      </c>
    </row>
    <row r="15" spans="1:15" ht="76.5" x14ac:dyDescent="0.25">
      <c r="A15" s="14" t="s">
        <v>889</v>
      </c>
      <c r="B15" s="14" t="s">
        <v>804</v>
      </c>
      <c r="C15" s="16" t="s">
        <v>890</v>
      </c>
      <c r="D15" s="16" t="s">
        <v>891</v>
      </c>
      <c r="E15" s="14" t="s">
        <v>541</v>
      </c>
      <c r="F15" s="25"/>
      <c r="G15" s="25"/>
      <c r="H15" s="25" t="s">
        <v>767</v>
      </c>
      <c r="I15" s="25"/>
      <c r="J15" s="29" t="s">
        <v>844</v>
      </c>
      <c r="K15" s="29" t="s">
        <v>1500</v>
      </c>
      <c r="L15" s="29" t="s">
        <v>1501</v>
      </c>
      <c r="M15" s="29" t="s">
        <v>1502</v>
      </c>
      <c r="N15" s="29" t="s">
        <v>1503</v>
      </c>
      <c r="O15" s="29" t="s">
        <v>1504</v>
      </c>
    </row>
    <row r="16" spans="1:15" ht="38.25" x14ac:dyDescent="0.25">
      <c r="A16" s="18" t="s">
        <v>892</v>
      </c>
      <c r="B16" s="18" t="s">
        <v>804</v>
      </c>
      <c r="C16" s="20" t="s">
        <v>893</v>
      </c>
      <c r="D16" s="20" t="s">
        <v>894</v>
      </c>
      <c r="E16" s="18" t="s">
        <v>541</v>
      </c>
      <c r="F16" s="25"/>
      <c r="G16" s="25"/>
      <c r="H16" s="25" t="s">
        <v>767</v>
      </c>
      <c r="I16" s="25"/>
      <c r="J16" s="29" t="s">
        <v>844</v>
      </c>
      <c r="K16" s="29" t="s">
        <v>1505</v>
      </c>
      <c r="L16" s="29" t="s">
        <v>1506</v>
      </c>
      <c r="M16" s="29" t="s">
        <v>1507</v>
      </c>
      <c r="N16" s="29" t="s">
        <v>1508</v>
      </c>
      <c r="O16" s="29" t="s">
        <v>1386</v>
      </c>
    </row>
    <row r="17" spans="1:15" ht="25.5" x14ac:dyDescent="0.25">
      <c r="A17" s="14" t="s">
        <v>895</v>
      </c>
      <c r="B17" s="14" t="s">
        <v>804</v>
      </c>
      <c r="C17" s="16" t="s">
        <v>896</v>
      </c>
      <c r="D17" s="16" t="s">
        <v>897</v>
      </c>
      <c r="E17" s="14" t="s">
        <v>808</v>
      </c>
      <c r="F17" s="25"/>
      <c r="G17" s="25"/>
      <c r="H17" s="25" t="s">
        <v>767</v>
      </c>
      <c r="I17" s="25"/>
      <c r="J17" s="29" t="s">
        <v>1509</v>
      </c>
      <c r="K17" s="29" t="s">
        <v>1510</v>
      </c>
      <c r="L17" s="29" t="s">
        <v>1511</v>
      </c>
      <c r="M17" s="29" t="s">
        <v>1512</v>
      </c>
      <c r="N17" s="29" t="s">
        <v>1513</v>
      </c>
      <c r="O17" s="29" t="s">
        <v>1379</v>
      </c>
    </row>
    <row r="18" spans="1:15" ht="38.25" x14ac:dyDescent="0.25">
      <c r="A18" s="18" t="s">
        <v>898</v>
      </c>
      <c r="B18" s="18" t="s">
        <v>495</v>
      </c>
      <c r="C18" s="20" t="s">
        <v>899</v>
      </c>
      <c r="D18" s="20" t="s">
        <v>900</v>
      </c>
      <c r="E18" s="18" t="s">
        <v>541</v>
      </c>
      <c r="F18" s="25"/>
      <c r="G18" s="25"/>
      <c r="H18" s="25" t="s">
        <v>767</v>
      </c>
      <c r="I18" s="25"/>
      <c r="J18" s="29" t="s">
        <v>799</v>
      </c>
      <c r="K18" s="29" t="s">
        <v>1514</v>
      </c>
      <c r="L18" s="29" t="s">
        <v>1515</v>
      </c>
      <c r="M18" s="29" t="s">
        <v>1516</v>
      </c>
      <c r="N18" s="29" t="s">
        <v>1517</v>
      </c>
      <c r="O18" s="29" t="s">
        <v>1350</v>
      </c>
    </row>
    <row r="19" spans="1:15" ht="38.25" x14ac:dyDescent="0.25">
      <c r="A19" s="14" t="s">
        <v>901</v>
      </c>
      <c r="B19" s="14" t="s">
        <v>795</v>
      </c>
      <c r="C19" s="16" t="s">
        <v>902</v>
      </c>
      <c r="D19" s="16" t="s">
        <v>903</v>
      </c>
      <c r="E19" s="14" t="s">
        <v>541</v>
      </c>
      <c r="F19" s="25"/>
      <c r="G19" s="25"/>
      <c r="H19" s="25" t="s">
        <v>767</v>
      </c>
      <c r="I19" s="25"/>
      <c r="J19" s="29" t="s">
        <v>1518</v>
      </c>
      <c r="K19" s="29" t="s">
        <v>1519</v>
      </c>
      <c r="L19" s="29" t="s">
        <v>1520</v>
      </c>
      <c r="M19" s="29" t="s">
        <v>1521</v>
      </c>
      <c r="N19" s="29" t="s">
        <v>1522</v>
      </c>
      <c r="O19" s="29" t="s">
        <v>1346</v>
      </c>
    </row>
    <row r="20" spans="1:15" ht="38.25" x14ac:dyDescent="0.25">
      <c r="A20" s="18" t="s">
        <v>904</v>
      </c>
      <c r="B20" s="18" t="s">
        <v>879</v>
      </c>
      <c r="C20" s="20" t="s">
        <v>905</v>
      </c>
      <c r="D20" s="20" t="s">
        <v>906</v>
      </c>
      <c r="E20" s="18" t="s">
        <v>541</v>
      </c>
      <c r="F20" s="25"/>
      <c r="G20" s="25"/>
      <c r="H20" s="25" t="s">
        <v>767</v>
      </c>
      <c r="I20" s="25"/>
      <c r="J20" s="29" t="s">
        <v>1523</v>
      </c>
      <c r="K20" s="29" t="s">
        <v>1524</v>
      </c>
      <c r="L20" s="29" t="s">
        <v>1525</v>
      </c>
      <c r="M20" s="29" t="s">
        <v>1526</v>
      </c>
      <c r="N20" s="29" t="s">
        <v>1527</v>
      </c>
      <c r="O20" s="29" t="s">
        <v>1379</v>
      </c>
    </row>
    <row r="21" spans="1:15" ht="36" x14ac:dyDescent="0.25">
      <c r="A21" s="14" t="s">
        <v>907</v>
      </c>
      <c r="B21" s="14" t="s">
        <v>175</v>
      </c>
      <c r="C21" s="16" t="s">
        <v>908</v>
      </c>
      <c r="D21" s="16" t="s">
        <v>909</v>
      </c>
      <c r="E21" s="14" t="s">
        <v>552</v>
      </c>
      <c r="F21" s="25"/>
      <c r="G21" s="25"/>
      <c r="H21" s="25" t="s">
        <v>767</v>
      </c>
      <c r="I21" s="25"/>
      <c r="J21" s="29" t="s">
        <v>1528</v>
      </c>
      <c r="K21" s="29" t="s">
        <v>1529</v>
      </c>
      <c r="L21" s="29" t="s">
        <v>1530</v>
      </c>
      <c r="M21" s="29" t="s">
        <v>1531</v>
      </c>
      <c r="N21" s="29" t="s">
        <v>1532</v>
      </c>
      <c r="O21" s="29" t="s">
        <v>1533</v>
      </c>
    </row>
    <row r="22" spans="1:15" ht="63.75" x14ac:dyDescent="0.25">
      <c r="A22" s="18" t="s">
        <v>910</v>
      </c>
      <c r="B22" s="18" t="s">
        <v>911</v>
      </c>
      <c r="C22" s="20" t="s">
        <v>912</v>
      </c>
      <c r="D22" s="20" t="s">
        <v>913</v>
      </c>
      <c r="E22" s="18" t="s">
        <v>541</v>
      </c>
      <c r="F22" s="25"/>
      <c r="G22" s="25"/>
      <c r="H22" s="25" t="s">
        <v>767</v>
      </c>
      <c r="I22" s="25"/>
      <c r="J22" s="29" t="s">
        <v>1534</v>
      </c>
      <c r="K22" s="29" t="s">
        <v>1535</v>
      </c>
      <c r="L22" s="29" t="s">
        <v>1536</v>
      </c>
      <c r="M22" s="29" t="s">
        <v>1537</v>
      </c>
      <c r="N22" s="29" t="s">
        <v>1538</v>
      </c>
      <c r="O22" s="29" t="s">
        <v>1539</v>
      </c>
    </row>
    <row r="23" spans="1:15" ht="51" x14ac:dyDescent="0.25">
      <c r="A23" s="14" t="s">
        <v>914</v>
      </c>
      <c r="B23" s="14" t="s">
        <v>911</v>
      </c>
      <c r="C23" s="16" t="s">
        <v>915</v>
      </c>
      <c r="D23" s="16" t="s">
        <v>916</v>
      </c>
      <c r="E23" s="14" t="s">
        <v>541</v>
      </c>
      <c r="F23" s="25"/>
      <c r="G23" s="25"/>
      <c r="H23" s="25" t="s">
        <v>767</v>
      </c>
      <c r="I23" s="25"/>
      <c r="J23" s="29" t="s">
        <v>1540</v>
      </c>
      <c r="K23" s="29" t="s">
        <v>1541</v>
      </c>
      <c r="L23" s="29" t="s">
        <v>1542</v>
      </c>
      <c r="M23" s="29" t="s">
        <v>1543</v>
      </c>
      <c r="N23" s="29" t="s">
        <v>1544</v>
      </c>
      <c r="O23" s="29" t="s">
        <v>1477</v>
      </c>
    </row>
    <row r="24" spans="1:15" ht="48" customHeight="1" x14ac:dyDescent="0.25">
      <c r="A24" s="30" t="s">
        <v>1545</v>
      </c>
      <c r="B24" s="30" t="s">
        <v>1546</v>
      </c>
      <c r="C24" s="30" t="s">
        <v>1547</v>
      </c>
      <c r="D24" s="30" t="s">
        <v>1548</v>
      </c>
      <c r="E24" s="30" t="s">
        <v>363</v>
      </c>
      <c r="F24" s="31"/>
      <c r="G24" s="31"/>
      <c r="H24" s="31" t="s">
        <v>767</v>
      </c>
      <c r="I24" s="31"/>
      <c r="J24" s="29" t="s">
        <v>1549</v>
      </c>
      <c r="K24" s="29" t="s">
        <v>1550</v>
      </c>
      <c r="L24" s="29" t="s">
        <v>1551</v>
      </c>
      <c r="M24" s="29" t="s">
        <v>1552</v>
      </c>
      <c r="N24" s="29" t="s">
        <v>1553</v>
      </c>
      <c r="O24" s="29" t="s">
        <v>1504</v>
      </c>
    </row>
    <row r="25" spans="1:15" ht="48" customHeight="1" x14ac:dyDescent="0.25">
      <c r="A25" s="30" t="s">
        <v>1554</v>
      </c>
      <c r="B25" s="30" t="s">
        <v>1555</v>
      </c>
      <c r="C25" s="30" t="s">
        <v>1556</v>
      </c>
      <c r="D25" s="30" t="s">
        <v>1557</v>
      </c>
      <c r="E25" s="30" t="s">
        <v>363</v>
      </c>
      <c r="F25" s="31"/>
      <c r="G25" s="31"/>
      <c r="H25" s="31" t="s">
        <v>767</v>
      </c>
      <c r="I25" s="31"/>
      <c r="J25" s="29" t="s">
        <v>1382</v>
      </c>
      <c r="K25" s="29" t="s">
        <v>1558</v>
      </c>
      <c r="L25" s="29" t="s">
        <v>1559</v>
      </c>
      <c r="M25" s="29" t="s">
        <v>1560</v>
      </c>
      <c r="N25" s="29" t="s">
        <v>1561</v>
      </c>
      <c r="O25" s="29" t="s">
        <v>1562</v>
      </c>
    </row>
    <row r="26" spans="1:15" ht="48" customHeight="1" x14ac:dyDescent="0.25">
      <c r="A26" s="30" t="s">
        <v>1563</v>
      </c>
      <c r="B26" s="30" t="s">
        <v>1564</v>
      </c>
      <c r="C26" s="30" t="s">
        <v>1565</v>
      </c>
      <c r="D26" s="30" t="s">
        <v>1566</v>
      </c>
      <c r="E26" s="30" t="s">
        <v>363</v>
      </c>
      <c r="F26" s="31"/>
      <c r="G26" s="31"/>
      <c r="H26" s="31" t="s">
        <v>767</v>
      </c>
      <c r="I26" s="31"/>
      <c r="J26" s="29" t="s">
        <v>1395</v>
      </c>
      <c r="K26" s="29" t="s">
        <v>1567</v>
      </c>
      <c r="L26" s="29" t="s">
        <v>1568</v>
      </c>
      <c r="M26" s="29" t="s">
        <v>1512</v>
      </c>
      <c r="N26" s="29" t="s">
        <v>1569</v>
      </c>
      <c r="O26" s="29" t="s">
        <v>1399</v>
      </c>
    </row>
    <row r="27" spans="1:15" ht="48" customHeight="1" x14ac:dyDescent="0.25">
      <c r="A27" s="30" t="s">
        <v>1570</v>
      </c>
      <c r="B27" s="30" t="s">
        <v>1571</v>
      </c>
      <c r="C27" s="30" t="s">
        <v>1572</v>
      </c>
      <c r="D27" s="30" t="s">
        <v>1573</v>
      </c>
      <c r="E27" s="30" t="s">
        <v>363</v>
      </c>
      <c r="F27" s="31"/>
      <c r="G27" s="31"/>
      <c r="H27" s="31" t="s">
        <v>767</v>
      </c>
      <c r="I27" s="31"/>
      <c r="J27" s="29" t="s">
        <v>1402</v>
      </c>
      <c r="K27" s="29" t="s">
        <v>1574</v>
      </c>
      <c r="L27" s="29" t="s">
        <v>1575</v>
      </c>
      <c r="M27" s="29" t="s">
        <v>1512</v>
      </c>
      <c r="N27" s="29" t="s">
        <v>1576</v>
      </c>
      <c r="O27" s="29" t="s">
        <v>1379</v>
      </c>
    </row>
    <row r="28" spans="1:15" ht="48" customHeight="1" x14ac:dyDescent="0.25">
      <c r="A28" s="30" t="s">
        <v>1577</v>
      </c>
      <c r="B28" s="30" t="s">
        <v>1578</v>
      </c>
      <c r="C28" s="30" t="s">
        <v>1579</v>
      </c>
      <c r="D28" s="30" t="s">
        <v>1580</v>
      </c>
      <c r="E28" s="30" t="s">
        <v>363</v>
      </c>
      <c r="F28" s="31"/>
      <c r="G28" s="31"/>
      <c r="H28" s="31" t="s">
        <v>767</v>
      </c>
      <c r="I28" s="31"/>
      <c r="J28" s="29" t="s">
        <v>1509</v>
      </c>
      <c r="K28" s="29" t="s">
        <v>1581</v>
      </c>
      <c r="L28" s="29" t="s">
        <v>1582</v>
      </c>
      <c r="M28" s="29" t="s">
        <v>1512</v>
      </c>
      <c r="N28" s="29" t="s">
        <v>1583</v>
      </c>
      <c r="O28" s="29" t="s">
        <v>1399</v>
      </c>
    </row>
    <row r="29" spans="1:15" ht="48" customHeight="1" x14ac:dyDescent="0.25">
      <c r="A29" s="30" t="s">
        <v>1584</v>
      </c>
      <c r="B29" s="30" t="s">
        <v>1415</v>
      </c>
      <c r="C29" s="30" t="s">
        <v>1585</v>
      </c>
      <c r="D29" s="30" t="s">
        <v>1586</v>
      </c>
      <c r="E29" s="30" t="s">
        <v>363</v>
      </c>
      <c r="F29" s="31"/>
      <c r="G29" s="31"/>
      <c r="H29" s="31" t="s">
        <v>767</v>
      </c>
      <c r="I29" s="31"/>
      <c r="J29" s="29" t="s">
        <v>1414</v>
      </c>
      <c r="K29" s="29" t="s">
        <v>1587</v>
      </c>
      <c r="L29" s="29" t="s">
        <v>1588</v>
      </c>
      <c r="M29" s="29" t="s">
        <v>1589</v>
      </c>
      <c r="N29" s="29" t="s">
        <v>1590</v>
      </c>
      <c r="O29" s="29" t="s">
        <v>1346</v>
      </c>
    </row>
    <row r="30" spans="1:15" ht="48" customHeight="1" x14ac:dyDescent="0.25">
      <c r="A30" s="30" t="s">
        <v>1591</v>
      </c>
      <c r="B30" s="30" t="s">
        <v>401</v>
      </c>
      <c r="C30" s="30" t="s">
        <v>1592</v>
      </c>
      <c r="D30" s="30" t="s">
        <v>1593</v>
      </c>
      <c r="E30" s="30" t="s">
        <v>363</v>
      </c>
      <c r="F30" s="31"/>
      <c r="G30" s="31"/>
      <c r="H30" s="31" t="s">
        <v>767</v>
      </c>
      <c r="I30" s="31"/>
      <c r="J30" s="29" t="s">
        <v>1421</v>
      </c>
      <c r="K30" s="29" t="s">
        <v>1594</v>
      </c>
      <c r="L30" s="29" t="s">
        <v>1595</v>
      </c>
      <c r="M30" s="29" t="s">
        <v>1512</v>
      </c>
      <c r="N30" s="29" t="s">
        <v>1596</v>
      </c>
      <c r="O30" s="29" t="s">
        <v>1504</v>
      </c>
    </row>
    <row r="31" spans="1:15" ht="48" customHeight="1" x14ac:dyDescent="0.25">
      <c r="A31" s="30" t="s">
        <v>1597</v>
      </c>
      <c r="B31" s="30" t="s">
        <v>1429</v>
      </c>
      <c r="C31" s="30" t="s">
        <v>1598</v>
      </c>
      <c r="D31" s="30" t="s">
        <v>1599</v>
      </c>
      <c r="E31" s="30" t="s">
        <v>363</v>
      </c>
      <c r="F31" s="31"/>
      <c r="G31" s="31"/>
      <c r="H31" s="31" t="s">
        <v>767</v>
      </c>
      <c r="I31" s="31"/>
      <c r="J31" s="29" t="s">
        <v>1428</v>
      </c>
      <c r="K31" s="29" t="s">
        <v>1600</v>
      </c>
      <c r="L31" s="29" t="s">
        <v>1601</v>
      </c>
      <c r="M31" s="29" t="s">
        <v>1512</v>
      </c>
      <c r="N31" s="29" t="s">
        <v>1602</v>
      </c>
      <c r="O31" s="29" t="s">
        <v>1346</v>
      </c>
    </row>
    <row r="32" spans="1:15" ht="48" customHeight="1" x14ac:dyDescent="0.25">
      <c r="A32" s="30" t="s">
        <v>1603</v>
      </c>
      <c r="B32" s="30" t="s">
        <v>1437</v>
      </c>
      <c r="C32" s="30" t="s">
        <v>1604</v>
      </c>
      <c r="D32" s="30" t="s">
        <v>1605</v>
      </c>
      <c r="E32" s="30" t="s">
        <v>363</v>
      </c>
      <c r="F32" s="31"/>
      <c r="G32" s="31"/>
      <c r="H32" s="31" t="s">
        <v>767</v>
      </c>
      <c r="I32" s="31"/>
      <c r="J32" s="29" t="s">
        <v>1436</v>
      </c>
      <c r="K32" s="29" t="s">
        <v>1606</v>
      </c>
      <c r="L32" s="29" t="s">
        <v>1607</v>
      </c>
      <c r="M32" s="29" t="s">
        <v>1512</v>
      </c>
      <c r="N32" s="29" t="s">
        <v>1608</v>
      </c>
      <c r="O32" s="29" t="s">
        <v>1441</v>
      </c>
    </row>
    <row r="33" spans="1:15" ht="48" customHeight="1" x14ac:dyDescent="0.25">
      <c r="A33" s="30" t="s">
        <v>1609</v>
      </c>
      <c r="B33" s="30" t="s">
        <v>1445</v>
      </c>
      <c r="C33" s="30" t="s">
        <v>1610</v>
      </c>
      <c r="D33" s="30" t="s">
        <v>1611</v>
      </c>
      <c r="E33" s="30" t="s">
        <v>363</v>
      </c>
      <c r="F33" s="31"/>
      <c r="G33" s="31"/>
      <c r="H33" s="31" t="s">
        <v>767</v>
      </c>
      <c r="I33" s="31"/>
      <c r="J33" s="29" t="s">
        <v>1444</v>
      </c>
      <c r="K33" s="29" t="s">
        <v>1612</v>
      </c>
      <c r="L33" s="29" t="s">
        <v>1613</v>
      </c>
      <c r="M33" s="29" t="s">
        <v>1512</v>
      </c>
      <c r="N33" s="29" t="s">
        <v>1614</v>
      </c>
      <c r="O33" s="29" t="s">
        <v>1399</v>
      </c>
    </row>
  </sheetData>
  <mergeCells count="1">
    <mergeCell ref="A2:I2"/>
  </mergeCells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A9A9A"/>
  </sheetPr>
  <dimension ref="A1:K28"/>
  <sheetViews>
    <sheetView workbookViewId="0"/>
  </sheetViews>
  <sheetFormatPr defaultColWidth="8.7109375" defaultRowHeight="15" x14ac:dyDescent="0.25"/>
  <cols>
    <col min="1" max="1" width="8" customWidth="1"/>
    <col min="2" max="2" width="22" customWidth="1"/>
    <col min="3" max="3" width="30" customWidth="1"/>
    <col min="4" max="4" width="12" customWidth="1"/>
    <col min="5" max="5" width="20" customWidth="1"/>
    <col min="6" max="6" width="10" customWidth="1"/>
    <col min="7" max="7" width="30" customWidth="1"/>
    <col min="8" max="8" width="26" customWidth="1"/>
    <col min="9" max="9" width="14" customWidth="1"/>
    <col min="10" max="11" width="12" customWidth="1"/>
  </cols>
  <sheetData>
    <row r="1" spans="1:11" ht="20.25" x14ac:dyDescent="0.3">
      <c r="A1" s="3" t="s">
        <v>917</v>
      </c>
    </row>
    <row r="2" spans="1:11" ht="30" customHeight="1" x14ac:dyDescent="0.25">
      <c r="A2" s="2" t="s">
        <v>918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spans="1:11" ht="27.75" customHeight="1" x14ac:dyDescent="0.25">
      <c r="A4" s="12" t="s">
        <v>531</v>
      </c>
      <c r="B4" s="12" t="s">
        <v>919</v>
      </c>
      <c r="C4" s="12" t="s">
        <v>920</v>
      </c>
      <c r="D4" s="12" t="s">
        <v>679</v>
      </c>
      <c r="E4" s="12" t="s">
        <v>921</v>
      </c>
      <c r="F4" s="12" t="s">
        <v>922</v>
      </c>
      <c r="G4" s="12" t="s">
        <v>923</v>
      </c>
      <c r="H4" s="12" t="s">
        <v>924</v>
      </c>
      <c r="I4" s="12" t="s">
        <v>89</v>
      </c>
      <c r="J4" s="12" t="s">
        <v>853</v>
      </c>
      <c r="K4" s="12" t="s">
        <v>854</v>
      </c>
    </row>
    <row r="5" spans="1:11" x14ac:dyDescent="0.25">
      <c r="A5" s="14" t="s">
        <v>925</v>
      </c>
      <c r="B5" s="14" t="s">
        <v>886</v>
      </c>
      <c r="C5" s="16" t="s">
        <v>926</v>
      </c>
      <c r="D5" s="14" t="s">
        <v>927</v>
      </c>
      <c r="E5" s="14" t="s">
        <v>928</v>
      </c>
      <c r="F5" s="14" t="s">
        <v>929</v>
      </c>
      <c r="G5" s="16" t="s">
        <v>930</v>
      </c>
      <c r="H5" s="16" t="s">
        <v>931</v>
      </c>
      <c r="I5" s="26" t="s">
        <v>932</v>
      </c>
      <c r="J5" s="25"/>
      <c r="K5" s="25"/>
    </row>
    <row r="6" spans="1:11" ht="25.5" x14ac:dyDescent="0.25">
      <c r="A6" s="18" t="s">
        <v>933</v>
      </c>
      <c r="B6" s="18" t="s">
        <v>886</v>
      </c>
      <c r="C6" s="20" t="s">
        <v>934</v>
      </c>
      <c r="D6" s="18" t="s">
        <v>927</v>
      </c>
      <c r="E6" s="18" t="s">
        <v>935</v>
      </c>
      <c r="F6" s="18" t="s">
        <v>929</v>
      </c>
      <c r="G6" s="20" t="s">
        <v>936</v>
      </c>
      <c r="H6" s="20" t="s">
        <v>937</v>
      </c>
      <c r="I6" s="26" t="s">
        <v>932</v>
      </c>
      <c r="J6" s="25"/>
      <c r="K6" s="25"/>
    </row>
    <row r="7" spans="1:11" x14ac:dyDescent="0.25">
      <c r="A7" s="14" t="s">
        <v>938</v>
      </c>
      <c r="B7" s="14" t="s">
        <v>886</v>
      </c>
      <c r="C7" s="16" t="s">
        <v>939</v>
      </c>
      <c r="D7" s="14" t="s">
        <v>940</v>
      </c>
      <c r="E7" s="14" t="s">
        <v>581</v>
      </c>
      <c r="F7" s="14" t="s">
        <v>929</v>
      </c>
      <c r="G7" s="16" t="s">
        <v>941</v>
      </c>
      <c r="H7" s="16" t="s">
        <v>581</v>
      </c>
      <c r="I7" s="26" t="s">
        <v>932</v>
      </c>
      <c r="J7" s="25"/>
      <c r="K7" s="25"/>
    </row>
    <row r="8" spans="1:11" ht="25.5" x14ac:dyDescent="0.25">
      <c r="A8" s="18" t="s">
        <v>942</v>
      </c>
      <c r="B8" s="18" t="s">
        <v>242</v>
      </c>
      <c r="C8" s="20" t="s">
        <v>943</v>
      </c>
      <c r="D8" s="18" t="s">
        <v>944</v>
      </c>
      <c r="E8" s="18" t="s">
        <v>945</v>
      </c>
      <c r="F8" s="18" t="s">
        <v>929</v>
      </c>
      <c r="G8" s="20" t="s">
        <v>946</v>
      </c>
      <c r="H8" s="20" t="s">
        <v>947</v>
      </c>
      <c r="I8" s="26" t="s">
        <v>932</v>
      </c>
      <c r="J8" s="25"/>
      <c r="K8" s="25"/>
    </row>
    <row r="9" spans="1:11" ht="25.5" x14ac:dyDescent="0.25">
      <c r="A9" s="14" t="s">
        <v>948</v>
      </c>
      <c r="B9" s="14" t="s">
        <v>242</v>
      </c>
      <c r="C9" s="16" t="s">
        <v>949</v>
      </c>
      <c r="D9" s="14" t="s">
        <v>944</v>
      </c>
      <c r="E9" s="14" t="s">
        <v>950</v>
      </c>
      <c r="F9" s="14" t="s">
        <v>951</v>
      </c>
      <c r="G9" s="16" t="s">
        <v>952</v>
      </c>
      <c r="H9" s="16" t="s">
        <v>953</v>
      </c>
      <c r="I9" s="26" t="s">
        <v>932</v>
      </c>
      <c r="J9" s="25"/>
      <c r="K9" s="25"/>
    </row>
    <row r="10" spans="1:11" x14ac:dyDescent="0.25">
      <c r="A10" s="18" t="s">
        <v>954</v>
      </c>
      <c r="B10" s="18" t="s">
        <v>242</v>
      </c>
      <c r="C10" s="20" t="s">
        <v>955</v>
      </c>
      <c r="D10" s="18" t="s">
        <v>956</v>
      </c>
      <c r="E10" s="18" t="s">
        <v>957</v>
      </c>
      <c r="F10" s="18" t="s">
        <v>929</v>
      </c>
      <c r="G10" s="20" t="s">
        <v>253</v>
      </c>
      <c r="H10" s="20" t="s">
        <v>958</v>
      </c>
      <c r="I10" s="26" t="s">
        <v>932</v>
      </c>
      <c r="J10" s="25"/>
      <c r="K10" s="25"/>
    </row>
    <row r="11" spans="1:11" ht="25.5" x14ac:dyDescent="0.25">
      <c r="A11" s="14" t="s">
        <v>959</v>
      </c>
      <c r="B11" s="14" t="s">
        <v>242</v>
      </c>
      <c r="C11" s="16" t="s">
        <v>960</v>
      </c>
      <c r="D11" s="14" t="s">
        <v>956</v>
      </c>
      <c r="E11" s="14" t="s">
        <v>961</v>
      </c>
      <c r="F11" s="14" t="s">
        <v>962</v>
      </c>
      <c r="G11" s="16" t="s">
        <v>963</v>
      </c>
      <c r="H11" s="16" t="s">
        <v>964</v>
      </c>
      <c r="I11" s="26" t="s">
        <v>932</v>
      </c>
      <c r="J11" s="25"/>
      <c r="K11" s="25"/>
    </row>
    <row r="12" spans="1:11" x14ac:dyDescent="0.25">
      <c r="A12" s="18" t="s">
        <v>965</v>
      </c>
      <c r="B12" s="18" t="s">
        <v>242</v>
      </c>
      <c r="C12" s="20" t="s">
        <v>966</v>
      </c>
      <c r="D12" s="18" t="s">
        <v>967</v>
      </c>
      <c r="E12" s="18" t="s">
        <v>950</v>
      </c>
      <c r="F12" s="18" t="s">
        <v>968</v>
      </c>
      <c r="G12" s="20" t="s">
        <v>969</v>
      </c>
      <c r="H12" s="20" t="s">
        <v>970</v>
      </c>
      <c r="I12" s="26" t="s">
        <v>932</v>
      </c>
      <c r="J12" s="25"/>
      <c r="K12" s="25"/>
    </row>
    <row r="13" spans="1:11" x14ac:dyDescent="0.25">
      <c r="A13" s="14" t="s">
        <v>971</v>
      </c>
      <c r="B13" s="14" t="s">
        <v>242</v>
      </c>
      <c r="C13" s="16" t="s">
        <v>972</v>
      </c>
      <c r="D13" s="14" t="s">
        <v>967</v>
      </c>
      <c r="E13" s="14" t="s">
        <v>950</v>
      </c>
      <c r="F13" s="14" t="s">
        <v>968</v>
      </c>
      <c r="G13" s="16" t="s">
        <v>973</v>
      </c>
      <c r="H13" s="16" t="s">
        <v>974</v>
      </c>
      <c r="I13" s="26" t="s">
        <v>932</v>
      </c>
      <c r="J13" s="25"/>
      <c r="K13" s="25"/>
    </row>
    <row r="14" spans="1:11" x14ac:dyDescent="0.25">
      <c r="A14" s="18" t="s">
        <v>975</v>
      </c>
      <c r="B14" s="18" t="s">
        <v>242</v>
      </c>
      <c r="C14" s="20" t="s">
        <v>976</v>
      </c>
      <c r="D14" s="18" t="s">
        <v>967</v>
      </c>
      <c r="E14" s="18" t="s">
        <v>950</v>
      </c>
      <c r="F14" s="18" t="s">
        <v>968</v>
      </c>
      <c r="G14" s="20" t="s">
        <v>977</v>
      </c>
      <c r="H14" s="20" t="s">
        <v>978</v>
      </c>
      <c r="I14" s="26" t="s">
        <v>932</v>
      </c>
      <c r="J14" s="25"/>
      <c r="K14" s="25"/>
    </row>
    <row r="15" spans="1:11" x14ac:dyDescent="0.25">
      <c r="A15" s="14" t="s">
        <v>979</v>
      </c>
      <c r="B15" s="14" t="s">
        <v>242</v>
      </c>
      <c r="C15" s="16" t="s">
        <v>980</v>
      </c>
      <c r="D15" s="14" t="s">
        <v>967</v>
      </c>
      <c r="E15" s="14" t="s">
        <v>981</v>
      </c>
      <c r="F15" s="14" t="s">
        <v>982</v>
      </c>
      <c r="G15" s="16" t="s">
        <v>983</v>
      </c>
      <c r="H15" s="16" t="s">
        <v>581</v>
      </c>
      <c r="I15" s="26" t="s">
        <v>932</v>
      </c>
      <c r="J15" s="25"/>
      <c r="K15" s="25"/>
    </row>
    <row r="16" spans="1:11" ht="25.5" x14ac:dyDescent="0.25">
      <c r="A16" s="18" t="s">
        <v>984</v>
      </c>
      <c r="B16" s="18" t="s">
        <v>985</v>
      </c>
      <c r="C16" s="20" t="s">
        <v>986</v>
      </c>
      <c r="D16" s="18" t="s">
        <v>987</v>
      </c>
      <c r="E16" s="18" t="s">
        <v>988</v>
      </c>
      <c r="F16" s="18" t="s">
        <v>929</v>
      </c>
      <c r="G16" s="20" t="s">
        <v>989</v>
      </c>
      <c r="H16" s="20" t="s">
        <v>990</v>
      </c>
      <c r="I16" s="26" t="s">
        <v>932</v>
      </c>
      <c r="J16" s="25"/>
      <c r="K16" s="25"/>
    </row>
    <row r="17" spans="1:11" x14ac:dyDescent="0.25">
      <c r="A17" s="14" t="s">
        <v>991</v>
      </c>
      <c r="B17" s="14" t="s">
        <v>985</v>
      </c>
      <c r="C17" s="16" t="s">
        <v>992</v>
      </c>
      <c r="D17" s="14" t="s">
        <v>987</v>
      </c>
      <c r="E17" s="14" t="s">
        <v>988</v>
      </c>
      <c r="F17" s="14" t="s">
        <v>982</v>
      </c>
      <c r="G17" s="16" t="s">
        <v>993</v>
      </c>
      <c r="H17" s="16" t="s">
        <v>994</v>
      </c>
      <c r="I17" s="26" t="s">
        <v>932</v>
      </c>
      <c r="J17" s="25"/>
      <c r="K17" s="25"/>
    </row>
    <row r="18" spans="1:11" x14ac:dyDescent="0.25">
      <c r="A18" s="18" t="s">
        <v>995</v>
      </c>
      <c r="B18" s="18" t="s">
        <v>996</v>
      </c>
      <c r="C18" s="20" t="s">
        <v>997</v>
      </c>
      <c r="D18" s="18" t="s">
        <v>998</v>
      </c>
      <c r="E18" s="18" t="s">
        <v>999</v>
      </c>
      <c r="F18" s="18" t="s">
        <v>1000</v>
      </c>
      <c r="G18" s="20" t="s">
        <v>169</v>
      </c>
      <c r="H18" s="20" t="s">
        <v>1001</v>
      </c>
      <c r="I18" s="26" t="s">
        <v>932</v>
      </c>
      <c r="J18" s="25"/>
      <c r="K18" s="25"/>
    </row>
    <row r="19" spans="1:11" x14ac:dyDescent="0.25">
      <c r="A19" s="14" t="s">
        <v>1002</v>
      </c>
      <c r="B19" s="14" t="s">
        <v>996</v>
      </c>
      <c r="C19" s="16" t="s">
        <v>1003</v>
      </c>
      <c r="D19" s="14" t="s">
        <v>967</v>
      </c>
      <c r="E19" s="14" t="s">
        <v>1004</v>
      </c>
      <c r="F19" s="14" t="s">
        <v>1005</v>
      </c>
      <c r="G19" s="16" t="s">
        <v>169</v>
      </c>
      <c r="H19" s="16" t="s">
        <v>581</v>
      </c>
      <c r="I19" s="26" t="s">
        <v>932</v>
      </c>
      <c r="J19" s="25"/>
      <c r="K19" s="25"/>
    </row>
    <row r="20" spans="1:11" x14ac:dyDescent="0.25">
      <c r="A20" s="18" t="s">
        <v>1006</v>
      </c>
      <c r="B20" s="18" t="s">
        <v>1007</v>
      </c>
      <c r="C20" s="20" t="s">
        <v>1008</v>
      </c>
      <c r="D20" s="18" t="s">
        <v>967</v>
      </c>
      <c r="E20" s="18" t="s">
        <v>1009</v>
      </c>
      <c r="F20" s="18" t="s">
        <v>1010</v>
      </c>
      <c r="G20" s="20" t="s">
        <v>209</v>
      </c>
      <c r="H20" s="20" t="s">
        <v>581</v>
      </c>
      <c r="I20" s="26" t="s">
        <v>932</v>
      </c>
      <c r="J20" s="25"/>
      <c r="K20" s="25"/>
    </row>
    <row r="21" spans="1:11" ht="25.5" x14ac:dyDescent="0.25">
      <c r="A21" s="14" t="s">
        <v>1011</v>
      </c>
      <c r="B21" s="14" t="s">
        <v>145</v>
      </c>
      <c r="C21" s="16" t="s">
        <v>1012</v>
      </c>
      <c r="D21" s="14" t="s">
        <v>927</v>
      </c>
      <c r="E21" s="14" t="s">
        <v>928</v>
      </c>
      <c r="F21" s="14" t="s">
        <v>1013</v>
      </c>
      <c r="G21" s="16" t="s">
        <v>143</v>
      </c>
      <c r="H21" s="16" t="s">
        <v>1014</v>
      </c>
      <c r="I21" s="26" t="s">
        <v>932</v>
      </c>
      <c r="J21" s="25"/>
      <c r="K21" s="25"/>
    </row>
    <row r="22" spans="1:11" x14ac:dyDescent="0.25">
      <c r="A22" s="18" t="s">
        <v>1015</v>
      </c>
      <c r="B22" s="18" t="s">
        <v>1016</v>
      </c>
      <c r="C22" s="20" t="s">
        <v>1017</v>
      </c>
      <c r="D22" s="18" t="s">
        <v>927</v>
      </c>
      <c r="E22" s="18" t="s">
        <v>961</v>
      </c>
      <c r="F22" s="18" t="s">
        <v>929</v>
      </c>
      <c r="G22" s="20" t="s">
        <v>1018</v>
      </c>
      <c r="H22" s="20" t="s">
        <v>1019</v>
      </c>
      <c r="I22" s="26" t="s">
        <v>932</v>
      </c>
      <c r="J22" s="25"/>
      <c r="K22" s="25"/>
    </row>
    <row r="23" spans="1:11" ht="38.25" x14ac:dyDescent="0.25">
      <c r="A23" s="14" t="s">
        <v>1020</v>
      </c>
      <c r="B23" s="14" t="s">
        <v>1016</v>
      </c>
      <c r="C23" s="16" t="s">
        <v>1021</v>
      </c>
      <c r="D23" s="14" t="s">
        <v>927</v>
      </c>
      <c r="E23" s="14" t="s">
        <v>961</v>
      </c>
      <c r="F23" s="14" t="s">
        <v>929</v>
      </c>
      <c r="G23" s="16" t="s">
        <v>328</v>
      </c>
      <c r="H23" s="16" t="s">
        <v>1022</v>
      </c>
      <c r="I23" s="26" t="s">
        <v>932</v>
      </c>
      <c r="J23" s="25"/>
      <c r="K23" s="25"/>
    </row>
    <row r="24" spans="1:11" ht="25.5" x14ac:dyDescent="0.25">
      <c r="A24" s="18" t="s">
        <v>1023</v>
      </c>
      <c r="B24" s="18" t="s">
        <v>370</v>
      </c>
      <c r="C24" s="20" t="s">
        <v>1024</v>
      </c>
      <c r="D24" s="18" t="s">
        <v>940</v>
      </c>
      <c r="E24" s="18" t="s">
        <v>1025</v>
      </c>
      <c r="F24" s="18" t="s">
        <v>929</v>
      </c>
      <c r="G24" s="20" t="s">
        <v>151</v>
      </c>
      <c r="H24" s="20" t="s">
        <v>1026</v>
      </c>
      <c r="I24" s="26" t="s">
        <v>932</v>
      </c>
      <c r="J24" s="25"/>
      <c r="K24" s="25"/>
    </row>
    <row r="25" spans="1:11" x14ac:dyDescent="0.25">
      <c r="A25" s="14" t="s">
        <v>1027</v>
      </c>
      <c r="B25" s="14" t="s">
        <v>370</v>
      </c>
      <c r="C25" s="16" t="s">
        <v>1028</v>
      </c>
      <c r="D25" s="14" t="s">
        <v>1029</v>
      </c>
      <c r="E25" s="14" t="s">
        <v>1025</v>
      </c>
      <c r="F25" s="14" t="s">
        <v>1030</v>
      </c>
      <c r="G25" s="16" t="s">
        <v>1031</v>
      </c>
      <c r="H25" s="16" t="s">
        <v>581</v>
      </c>
      <c r="I25" s="26" t="s">
        <v>932</v>
      </c>
      <c r="J25" s="25"/>
      <c r="K25" s="25"/>
    </row>
    <row r="26" spans="1:11" x14ac:dyDescent="0.25">
      <c r="A26" s="18" t="s">
        <v>1032</v>
      </c>
      <c r="B26" s="18" t="s">
        <v>1033</v>
      </c>
      <c r="C26" s="20" t="s">
        <v>1034</v>
      </c>
      <c r="D26" s="18" t="s">
        <v>1035</v>
      </c>
      <c r="E26" s="18" t="s">
        <v>581</v>
      </c>
      <c r="F26" s="18" t="s">
        <v>929</v>
      </c>
      <c r="G26" s="20" t="s">
        <v>147</v>
      </c>
      <c r="H26" s="20" t="s">
        <v>1036</v>
      </c>
      <c r="I26" s="26" t="s">
        <v>932</v>
      </c>
      <c r="J26" s="25"/>
      <c r="K26" s="25"/>
    </row>
    <row r="27" spans="1:11" x14ac:dyDescent="0.25">
      <c r="A27" s="14" t="s">
        <v>1037</v>
      </c>
      <c r="B27" s="14" t="s">
        <v>1038</v>
      </c>
      <c r="C27" s="16" t="s">
        <v>1039</v>
      </c>
      <c r="D27" s="14" t="s">
        <v>1040</v>
      </c>
      <c r="E27" s="14" t="s">
        <v>1041</v>
      </c>
      <c r="F27" s="14" t="s">
        <v>982</v>
      </c>
      <c r="G27" s="16" t="s">
        <v>1042</v>
      </c>
      <c r="H27" s="16" t="s">
        <v>581</v>
      </c>
      <c r="I27" s="26" t="s">
        <v>932</v>
      </c>
      <c r="J27" s="25"/>
      <c r="K27" s="25"/>
    </row>
    <row r="28" spans="1:11" ht="25.5" x14ac:dyDescent="0.25">
      <c r="A28" s="18" t="s">
        <v>1043</v>
      </c>
      <c r="B28" s="18" t="s">
        <v>175</v>
      </c>
      <c r="C28" s="20" t="s">
        <v>1044</v>
      </c>
      <c r="D28" s="18" t="s">
        <v>1045</v>
      </c>
      <c r="E28" s="18" t="s">
        <v>581</v>
      </c>
      <c r="F28" s="18" t="s">
        <v>929</v>
      </c>
      <c r="G28" s="20" t="s">
        <v>1046</v>
      </c>
      <c r="H28" s="20" t="s">
        <v>1047</v>
      </c>
      <c r="I28" s="26" t="s">
        <v>932</v>
      </c>
      <c r="J28" s="25"/>
      <c r="K28" s="25"/>
    </row>
  </sheetData>
  <mergeCells count="1">
    <mergeCell ref="A2:K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C3024"/>
  </sheetPr>
  <dimension ref="A1:G111"/>
  <sheetViews>
    <sheetView workbookViewId="0"/>
  </sheetViews>
  <sheetFormatPr defaultColWidth="8.7109375" defaultRowHeight="15" x14ac:dyDescent="0.25"/>
  <cols>
    <col min="1" max="1" width="12" customWidth="1"/>
    <col min="2" max="2" width="24" customWidth="1"/>
    <col min="3" max="3" width="26" customWidth="1"/>
    <col min="4" max="4" width="12" customWidth="1"/>
    <col min="5" max="5" width="40" customWidth="1"/>
    <col min="6" max="6" width="46" customWidth="1"/>
    <col min="7" max="7" width="56" customWidth="1"/>
  </cols>
  <sheetData>
    <row r="1" spans="1:7" ht="20.25" x14ac:dyDescent="0.3">
      <c r="A1" s="3" t="s">
        <v>1048</v>
      </c>
    </row>
    <row r="2" spans="1:7" ht="30" customHeight="1" x14ac:dyDescent="0.25">
      <c r="A2" s="2" t="s">
        <v>1049</v>
      </c>
      <c r="B2" s="2"/>
      <c r="C2" s="2"/>
      <c r="D2" s="2"/>
      <c r="E2" s="2"/>
      <c r="F2" s="2"/>
      <c r="G2" s="2"/>
    </row>
    <row r="4" spans="1:7" ht="27.75" customHeight="1" x14ac:dyDescent="0.25">
      <c r="A4" s="12" t="s">
        <v>911</v>
      </c>
      <c r="B4" s="12" t="s">
        <v>1050</v>
      </c>
      <c r="C4" s="12" t="s">
        <v>1051</v>
      </c>
      <c r="D4" s="12" t="s">
        <v>1052</v>
      </c>
      <c r="E4" s="12" t="s">
        <v>1053</v>
      </c>
      <c r="F4" s="12" t="s">
        <v>1054</v>
      </c>
      <c r="G4" s="12" t="s">
        <v>1055</v>
      </c>
    </row>
    <row r="5" spans="1:7" ht="15" customHeight="1" x14ac:dyDescent="0.25">
      <c r="A5" s="27" t="s">
        <v>222</v>
      </c>
      <c r="B5" s="1" t="s">
        <v>1056</v>
      </c>
      <c r="C5" s="1"/>
      <c r="D5" s="1"/>
      <c r="E5" s="1"/>
      <c r="F5" s="1"/>
      <c r="G5" s="1"/>
    </row>
    <row r="6" spans="1:7" ht="38.25" x14ac:dyDescent="0.25">
      <c r="A6" s="14"/>
      <c r="B6" s="14" t="s">
        <v>1057</v>
      </c>
      <c r="C6" s="14" t="s">
        <v>1058</v>
      </c>
      <c r="D6" s="15" t="s">
        <v>1059</v>
      </c>
      <c r="E6" s="16" t="s">
        <v>242</v>
      </c>
      <c r="F6" s="16"/>
      <c r="G6" s="16" t="s">
        <v>1060</v>
      </c>
    </row>
    <row r="7" spans="1:7" x14ac:dyDescent="0.25">
      <c r="A7" s="14"/>
      <c r="B7" s="14" t="s">
        <v>1057</v>
      </c>
      <c r="C7" s="14" t="s">
        <v>1061</v>
      </c>
      <c r="D7" s="15" t="s">
        <v>1062</v>
      </c>
      <c r="E7" s="16" t="s">
        <v>1063</v>
      </c>
      <c r="F7" s="16"/>
      <c r="G7" s="16"/>
    </row>
    <row r="8" spans="1:7" ht="25.5" x14ac:dyDescent="0.25">
      <c r="A8" s="14"/>
      <c r="B8" s="14" t="s">
        <v>1057</v>
      </c>
      <c r="C8" s="14" t="s">
        <v>1064</v>
      </c>
      <c r="D8" s="15" t="s">
        <v>1059</v>
      </c>
      <c r="E8" s="16" t="s">
        <v>242</v>
      </c>
      <c r="F8" s="16"/>
      <c r="G8" s="16" t="s">
        <v>1065</v>
      </c>
    </row>
    <row r="9" spans="1:7" ht="38.25" x14ac:dyDescent="0.25">
      <c r="A9" s="14"/>
      <c r="B9" s="14" t="s">
        <v>1057</v>
      </c>
      <c r="C9" s="14" t="s">
        <v>1066</v>
      </c>
      <c r="D9" s="15" t="s">
        <v>1059</v>
      </c>
      <c r="E9" s="16" t="s">
        <v>1066</v>
      </c>
      <c r="F9" s="16"/>
      <c r="G9" s="16" t="s">
        <v>1067</v>
      </c>
    </row>
    <row r="10" spans="1:7" ht="25.5" x14ac:dyDescent="0.25">
      <c r="A10" s="14"/>
      <c r="B10" s="14" t="s">
        <v>1057</v>
      </c>
      <c r="C10" s="14" t="s">
        <v>1068</v>
      </c>
      <c r="D10" s="15" t="s">
        <v>1062</v>
      </c>
      <c r="E10" s="16" t="s">
        <v>1069</v>
      </c>
      <c r="F10" s="16"/>
      <c r="G10" s="16" t="s">
        <v>1070</v>
      </c>
    </row>
    <row r="11" spans="1:7" ht="25.5" x14ac:dyDescent="0.25">
      <c r="A11" s="14"/>
      <c r="B11" s="14" t="s">
        <v>1057</v>
      </c>
      <c r="C11" s="14" t="s">
        <v>1071</v>
      </c>
      <c r="D11" s="23" t="s">
        <v>1072</v>
      </c>
      <c r="E11" s="16" t="s">
        <v>1073</v>
      </c>
      <c r="F11" s="16" t="s">
        <v>1074</v>
      </c>
      <c r="G11" s="16"/>
    </row>
    <row r="12" spans="1:7" ht="25.5" x14ac:dyDescent="0.25">
      <c r="A12" s="14"/>
      <c r="B12" s="14" t="s">
        <v>1075</v>
      </c>
      <c r="C12" s="14" t="s">
        <v>1076</v>
      </c>
      <c r="D12" s="23" t="s">
        <v>1072</v>
      </c>
      <c r="E12" s="16" t="s">
        <v>1077</v>
      </c>
      <c r="F12" s="16" t="s">
        <v>1078</v>
      </c>
      <c r="G12" s="16"/>
    </row>
    <row r="13" spans="1:7" x14ac:dyDescent="0.25">
      <c r="A13" s="14"/>
      <c r="B13" s="14" t="s">
        <v>1075</v>
      </c>
      <c r="C13" s="14" t="s">
        <v>1079</v>
      </c>
      <c r="D13" s="23" t="s">
        <v>1072</v>
      </c>
      <c r="E13" s="16" t="s">
        <v>1077</v>
      </c>
      <c r="F13" s="16" t="s">
        <v>1080</v>
      </c>
      <c r="G13" s="16"/>
    </row>
    <row r="14" spans="1:7" x14ac:dyDescent="0.25">
      <c r="A14" s="14"/>
      <c r="B14" s="14" t="s">
        <v>1075</v>
      </c>
      <c r="C14" s="14" t="s">
        <v>1081</v>
      </c>
      <c r="D14" s="23" t="s">
        <v>1072</v>
      </c>
      <c r="E14" s="16" t="s">
        <v>1077</v>
      </c>
      <c r="F14" s="16" t="s">
        <v>1082</v>
      </c>
      <c r="G14" s="16"/>
    </row>
    <row r="15" spans="1:7" ht="38.25" x14ac:dyDescent="0.25">
      <c r="A15" s="14"/>
      <c r="B15" s="14" t="s">
        <v>1075</v>
      </c>
      <c r="C15" s="14" t="s">
        <v>1083</v>
      </c>
      <c r="D15" s="23" t="s">
        <v>1072</v>
      </c>
      <c r="E15" s="16" t="s">
        <v>1077</v>
      </c>
      <c r="F15" s="16" t="s">
        <v>1084</v>
      </c>
      <c r="G15" s="16"/>
    </row>
    <row r="16" spans="1:7" ht="38.25" x14ac:dyDescent="0.25">
      <c r="A16" s="14"/>
      <c r="B16" s="14" t="s">
        <v>1085</v>
      </c>
      <c r="C16" s="14" t="s">
        <v>1086</v>
      </c>
      <c r="D16" s="23" t="s">
        <v>1072</v>
      </c>
      <c r="E16" s="16" t="s">
        <v>1087</v>
      </c>
      <c r="F16" s="16" t="s">
        <v>1088</v>
      </c>
      <c r="G16" s="16"/>
    </row>
    <row r="17" spans="1:7" ht="25.5" x14ac:dyDescent="0.25">
      <c r="A17" s="14"/>
      <c r="B17" s="14" t="s">
        <v>1085</v>
      </c>
      <c r="C17" s="14" t="s">
        <v>1089</v>
      </c>
      <c r="D17" s="15" t="s">
        <v>1059</v>
      </c>
      <c r="E17" s="16" t="s">
        <v>1089</v>
      </c>
      <c r="F17" s="16"/>
      <c r="G17" s="16" t="s">
        <v>1090</v>
      </c>
    </row>
    <row r="18" spans="1:7" x14ac:dyDescent="0.25">
      <c r="A18" s="14"/>
      <c r="B18" s="14" t="s">
        <v>1091</v>
      </c>
      <c r="C18" s="14" t="s">
        <v>1092</v>
      </c>
      <c r="D18" s="23" t="s">
        <v>1072</v>
      </c>
      <c r="E18" s="16" t="s">
        <v>1073</v>
      </c>
      <c r="F18" s="16" t="s">
        <v>1093</v>
      </c>
      <c r="G18" s="16"/>
    </row>
    <row r="19" spans="1:7" ht="25.5" x14ac:dyDescent="0.25">
      <c r="A19" s="14"/>
      <c r="B19" s="14" t="s">
        <v>1091</v>
      </c>
      <c r="C19" s="14" t="s">
        <v>1094</v>
      </c>
      <c r="D19" s="23" t="s">
        <v>1072</v>
      </c>
      <c r="E19" s="16" t="s">
        <v>1073</v>
      </c>
      <c r="F19" s="16" t="s">
        <v>1095</v>
      </c>
      <c r="G19" s="16"/>
    </row>
    <row r="20" spans="1:7" x14ac:dyDescent="0.25">
      <c r="A20" s="14"/>
      <c r="B20" s="14" t="s">
        <v>1091</v>
      </c>
      <c r="C20" s="14" t="s">
        <v>1096</v>
      </c>
      <c r="D20" s="23" t="s">
        <v>1072</v>
      </c>
      <c r="E20" s="16" t="s">
        <v>1073</v>
      </c>
      <c r="F20" s="16" t="s">
        <v>1097</v>
      </c>
      <c r="G20" s="16"/>
    </row>
    <row r="21" spans="1:7" ht="25.5" x14ac:dyDescent="0.25">
      <c r="A21" s="14"/>
      <c r="B21" s="14" t="s">
        <v>1091</v>
      </c>
      <c r="C21" s="14" t="s">
        <v>1098</v>
      </c>
      <c r="D21" s="23" t="s">
        <v>1072</v>
      </c>
      <c r="E21" s="16" t="s">
        <v>1073</v>
      </c>
      <c r="F21" s="16" t="s">
        <v>1099</v>
      </c>
      <c r="G21" s="16"/>
    </row>
    <row r="22" spans="1:7" ht="38.25" x14ac:dyDescent="0.25">
      <c r="A22" s="14"/>
      <c r="B22" s="14" t="s">
        <v>1091</v>
      </c>
      <c r="C22" s="14" t="s">
        <v>1100</v>
      </c>
      <c r="D22" s="23" t="s">
        <v>1072</v>
      </c>
      <c r="E22" s="16" t="s">
        <v>1077</v>
      </c>
      <c r="F22" s="16" t="s">
        <v>1101</v>
      </c>
      <c r="G22" s="16"/>
    </row>
    <row r="23" spans="1:7" ht="15" customHeight="1" x14ac:dyDescent="0.25">
      <c r="A23" s="27" t="s">
        <v>234</v>
      </c>
      <c r="B23" s="1" t="s">
        <v>1102</v>
      </c>
      <c r="C23" s="1"/>
      <c r="D23" s="1"/>
      <c r="E23" s="1"/>
      <c r="F23" s="1"/>
      <c r="G23" s="1"/>
    </row>
    <row r="24" spans="1:7" ht="25.5" x14ac:dyDescent="0.25">
      <c r="A24" s="14"/>
      <c r="B24" s="14" t="s">
        <v>1103</v>
      </c>
      <c r="C24" s="14" t="s">
        <v>1104</v>
      </c>
      <c r="D24" s="23" t="s">
        <v>1072</v>
      </c>
      <c r="E24" s="16" t="s">
        <v>1105</v>
      </c>
      <c r="F24" s="16" t="s">
        <v>1106</v>
      </c>
      <c r="G24" s="16"/>
    </row>
    <row r="25" spans="1:7" ht="38.25" x14ac:dyDescent="0.25">
      <c r="A25" s="14"/>
      <c r="B25" s="14" t="s">
        <v>1103</v>
      </c>
      <c r="C25" s="14" t="s">
        <v>1107</v>
      </c>
      <c r="D25" s="23" t="s">
        <v>1072</v>
      </c>
      <c r="E25" s="16" t="s">
        <v>1105</v>
      </c>
      <c r="F25" s="16" t="s">
        <v>1108</v>
      </c>
      <c r="G25" s="16"/>
    </row>
    <row r="26" spans="1:7" ht="51" x14ac:dyDescent="0.25">
      <c r="A26" s="14"/>
      <c r="B26" s="14" t="s">
        <v>1103</v>
      </c>
      <c r="C26" s="14" t="s">
        <v>1109</v>
      </c>
      <c r="D26" s="14" t="s">
        <v>1110</v>
      </c>
      <c r="E26" s="16" t="s">
        <v>1111</v>
      </c>
      <c r="F26" s="16"/>
      <c r="G26" s="16" t="s">
        <v>1112</v>
      </c>
    </row>
    <row r="27" spans="1:7" ht="25.5" x14ac:dyDescent="0.25">
      <c r="A27" s="14"/>
      <c r="B27" s="14" t="s">
        <v>1113</v>
      </c>
      <c r="C27" s="14" t="s">
        <v>1114</v>
      </c>
      <c r="D27" s="15" t="s">
        <v>1062</v>
      </c>
      <c r="E27" s="16" t="s">
        <v>1115</v>
      </c>
      <c r="F27" s="16"/>
      <c r="G27" s="16" t="s">
        <v>1116</v>
      </c>
    </row>
    <row r="28" spans="1:7" ht="25.5" x14ac:dyDescent="0.25">
      <c r="A28" s="14"/>
      <c r="B28" s="14" t="s">
        <v>1113</v>
      </c>
      <c r="C28" s="14" t="s">
        <v>1117</v>
      </c>
      <c r="D28" s="14" t="s">
        <v>1110</v>
      </c>
      <c r="E28" s="16" t="s">
        <v>1118</v>
      </c>
      <c r="F28" s="16"/>
      <c r="G28" s="16" t="s">
        <v>1119</v>
      </c>
    </row>
    <row r="29" spans="1:7" ht="25.5" x14ac:dyDescent="0.25">
      <c r="A29" s="14"/>
      <c r="B29" s="14" t="s">
        <v>1113</v>
      </c>
      <c r="C29" s="14" t="s">
        <v>1120</v>
      </c>
      <c r="D29" s="23" t="s">
        <v>1072</v>
      </c>
      <c r="E29" s="16" t="s">
        <v>1121</v>
      </c>
      <c r="F29" s="16" t="s">
        <v>1122</v>
      </c>
      <c r="G29" s="16"/>
    </row>
    <row r="30" spans="1:7" ht="25.5" x14ac:dyDescent="0.25">
      <c r="A30" s="14"/>
      <c r="B30" s="14" t="s">
        <v>1113</v>
      </c>
      <c r="C30" s="14" t="s">
        <v>1123</v>
      </c>
      <c r="D30" s="23" t="s">
        <v>1072</v>
      </c>
      <c r="E30" s="16" t="s">
        <v>1121</v>
      </c>
      <c r="F30" s="16" t="s">
        <v>1124</v>
      </c>
      <c r="G30" s="16"/>
    </row>
    <row r="31" spans="1:7" ht="51" x14ac:dyDescent="0.25">
      <c r="A31" s="14"/>
      <c r="B31" s="14" t="s">
        <v>1125</v>
      </c>
      <c r="C31" s="14" t="s">
        <v>1126</v>
      </c>
      <c r="D31" s="21" t="s">
        <v>1127</v>
      </c>
      <c r="E31" s="16"/>
      <c r="F31" s="16" t="s">
        <v>1128</v>
      </c>
      <c r="G31" s="16"/>
    </row>
    <row r="32" spans="1:7" ht="25.5" x14ac:dyDescent="0.25">
      <c r="A32" s="14"/>
      <c r="B32" s="14" t="s">
        <v>1129</v>
      </c>
      <c r="C32" s="14" t="s">
        <v>1130</v>
      </c>
      <c r="D32" s="21" t="s">
        <v>1127</v>
      </c>
      <c r="E32" s="16"/>
      <c r="F32" s="16" t="s">
        <v>1131</v>
      </c>
      <c r="G32" s="16"/>
    </row>
    <row r="33" spans="1:7" ht="51" x14ac:dyDescent="0.25">
      <c r="A33" s="14"/>
      <c r="B33" s="14" t="s">
        <v>1132</v>
      </c>
      <c r="C33" s="14" t="s">
        <v>1133</v>
      </c>
      <c r="D33" s="21" t="s">
        <v>1127</v>
      </c>
      <c r="E33" s="16"/>
      <c r="F33" s="16" t="s">
        <v>1134</v>
      </c>
      <c r="G33" s="16"/>
    </row>
    <row r="34" spans="1:7" ht="15" customHeight="1" x14ac:dyDescent="0.25">
      <c r="A34" s="27" t="s">
        <v>248</v>
      </c>
      <c r="B34" s="1" t="s">
        <v>1135</v>
      </c>
      <c r="C34" s="1"/>
      <c r="D34" s="1"/>
      <c r="E34" s="1"/>
      <c r="F34" s="1"/>
      <c r="G34" s="1"/>
    </row>
    <row r="35" spans="1:7" x14ac:dyDescent="0.25">
      <c r="A35" s="14"/>
      <c r="B35" s="14" t="s">
        <v>1136</v>
      </c>
      <c r="C35" s="14" t="s">
        <v>1137</v>
      </c>
      <c r="D35" s="15" t="s">
        <v>1059</v>
      </c>
      <c r="E35" s="16" t="s">
        <v>612</v>
      </c>
      <c r="F35" s="16"/>
      <c r="G35" s="16"/>
    </row>
    <row r="36" spans="1:7" ht="25.5" x14ac:dyDescent="0.25">
      <c r="A36" s="14"/>
      <c r="B36" s="14" t="s">
        <v>1136</v>
      </c>
      <c r="C36" s="14" t="s">
        <v>1138</v>
      </c>
      <c r="D36" s="15" t="s">
        <v>1059</v>
      </c>
      <c r="E36" s="16" t="s">
        <v>1139</v>
      </c>
      <c r="F36" s="16"/>
      <c r="G36" s="16" t="s">
        <v>1140</v>
      </c>
    </row>
    <row r="37" spans="1:7" ht="38.25" x14ac:dyDescent="0.25">
      <c r="A37" s="14"/>
      <c r="B37" s="14" t="s">
        <v>1136</v>
      </c>
      <c r="C37" s="14" t="s">
        <v>1141</v>
      </c>
      <c r="D37" s="23" t="s">
        <v>1072</v>
      </c>
      <c r="E37" s="16" t="s">
        <v>1142</v>
      </c>
      <c r="F37" s="16" t="s">
        <v>1143</v>
      </c>
      <c r="G37" s="16"/>
    </row>
    <row r="38" spans="1:7" x14ac:dyDescent="0.25">
      <c r="A38" s="14"/>
      <c r="B38" s="14" t="s">
        <v>1144</v>
      </c>
      <c r="C38" s="14" t="s">
        <v>1145</v>
      </c>
      <c r="D38" s="15" t="s">
        <v>1059</v>
      </c>
      <c r="E38" s="16" t="s">
        <v>1145</v>
      </c>
      <c r="F38" s="16"/>
      <c r="G38" s="16"/>
    </row>
    <row r="39" spans="1:7" x14ac:dyDescent="0.25">
      <c r="A39" s="14"/>
      <c r="B39" s="14" t="s">
        <v>1144</v>
      </c>
      <c r="C39" s="14" t="s">
        <v>1146</v>
      </c>
      <c r="D39" s="15" t="s">
        <v>1059</v>
      </c>
      <c r="E39" s="16" t="s">
        <v>1147</v>
      </c>
      <c r="F39" s="16"/>
      <c r="G39" s="16"/>
    </row>
    <row r="40" spans="1:7" ht="25.5" x14ac:dyDescent="0.25">
      <c r="A40" s="14"/>
      <c r="B40" s="14" t="s">
        <v>1144</v>
      </c>
      <c r="C40" s="14" t="s">
        <v>1148</v>
      </c>
      <c r="D40" s="15" t="s">
        <v>1059</v>
      </c>
      <c r="E40" s="16" t="s">
        <v>1149</v>
      </c>
      <c r="F40" s="16"/>
      <c r="G40" s="16" t="s">
        <v>1150</v>
      </c>
    </row>
    <row r="41" spans="1:7" x14ac:dyDescent="0.25">
      <c r="A41" s="14"/>
      <c r="B41" s="14" t="s">
        <v>1144</v>
      </c>
      <c r="C41" s="14" t="s">
        <v>270</v>
      </c>
      <c r="D41" s="15" t="s">
        <v>1059</v>
      </c>
      <c r="E41" s="16" t="s">
        <v>359</v>
      </c>
      <c r="F41" s="16"/>
      <c r="G41" s="16"/>
    </row>
    <row r="42" spans="1:7" ht="51" x14ac:dyDescent="0.25">
      <c r="A42" s="14"/>
      <c r="B42" s="14" t="s">
        <v>1151</v>
      </c>
      <c r="C42" s="14" t="s">
        <v>1152</v>
      </c>
      <c r="D42" s="23" t="s">
        <v>1072</v>
      </c>
      <c r="E42" s="16" t="s">
        <v>1153</v>
      </c>
      <c r="F42" s="16" t="s">
        <v>1154</v>
      </c>
      <c r="G42" s="16"/>
    </row>
    <row r="43" spans="1:7" x14ac:dyDescent="0.25">
      <c r="A43" s="14"/>
      <c r="B43" s="14" t="s">
        <v>1151</v>
      </c>
      <c r="C43" s="14" t="s">
        <v>1155</v>
      </c>
      <c r="D43" s="23" t="s">
        <v>1072</v>
      </c>
      <c r="E43" s="16" t="s">
        <v>1153</v>
      </c>
      <c r="F43" s="16" t="s">
        <v>1156</v>
      </c>
      <c r="G43" s="16"/>
    </row>
    <row r="44" spans="1:7" x14ac:dyDescent="0.25">
      <c r="A44" s="14"/>
      <c r="B44" s="14" t="s">
        <v>1151</v>
      </c>
      <c r="C44" s="14" t="s">
        <v>1157</v>
      </c>
      <c r="D44" s="23" t="s">
        <v>1072</v>
      </c>
      <c r="E44" s="16" t="s">
        <v>1153</v>
      </c>
      <c r="F44" s="16" t="s">
        <v>1156</v>
      </c>
      <c r="G44" s="16"/>
    </row>
    <row r="45" spans="1:7" ht="38.25" x14ac:dyDescent="0.25">
      <c r="A45" s="14"/>
      <c r="B45" s="14" t="s">
        <v>1151</v>
      </c>
      <c r="C45" s="14" t="s">
        <v>1158</v>
      </c>
      <c r="D45" s="23" t="s">
        <v>1072</v>
      </c>
      <c r="E45" s="16" t="s">
        <v>1159</v>
      </c>
      <c r="F45" s="16" t="s">
        <v>1160</v>
      </c>
      <c r="G45" s="16"/>
    </row>
    <row r="46" spans="1:7" x14ac:dyDescent="0.25">
      <c r="A46" s="14"/>
      <c r="B46" s="14" t="s">
        <v>1161</v>
      </c>
      <c r="C46" s="14" t="s">
        <v>1162</v>
      </c>
      <c r="D46" s="23" t="s">
        <v>1072</v>
      </c>
      <c r="E46" s="16" t="s">
        <v>1163</v>
      </c>
      <c r="F46" s="16" t="s">
        <v>1164</v>
      </c>
      <c r="G46" s="16"/>
    </row>
    <row r="47" spans="1:7" x14ac:dyDescent="0.25">
      <c r="A47" s="14"/>
      <c r="B47" s="14" t="s">
        <v>1161</v>
      </c>
      <c r="C47" s="14" t="s">
        <v>1165</v>
      </c>
      <c r="D47" s="23" t="s">
        <v>1072</v>
      </c>
      <c r="E47" s="16" t="s">
        <v>1163</v>
      </c>
      <c r="F47" s="16" t="s">
        <v>1166</v>
      </c>
      <c r="G47" s="16"/>
    </row>
    <row r="48" spans="1:7" x14ac:dyDescent="0.25">
      <c r="A48" s="14"/>
      <c r="B48" s="14" t="s">
        <v>1161</v>
      </c>
      <c r="C48" s="14" t="s">
        <v>1167</v>
      </c>
      <c r="D48" s="23" t="s">
        <v>1072</v>
      </c>
      <c r="E48" s="16" t="s">
        <v>1163</v>
      </c>
      <c r="F48" s="16" t="s">
        <v>1168</v>
      </c>
      <c r="G48" s="16"/>
    </row>
    <row r="49" spans="1:7" x14ac:dyDescent="0.25">
      <c r="A49" s="14"/>
      <c r="B49" s="14" t="s">
        <v>1161</v>
      </c>
      <c r="C49" s="14" t="s">
        <v>1169</v>
      </c>
      <c r="D49" s="23" t="s">
        <v>1072</v>
      </c>
      <c r="E49" s="16" t="s">
        <v>1163</v>
      </c>
      <c r="F49" s="16" t="s">
        <v>1170</v>
      </c>
      <c r="G49" s="16"/>
    </row>
    <row r="50" spans="1:7" x14ac:dyDescent="0.25">
      <c r="A50" s="14"/>
      <c r="B50" s="14" t="s">
        <v>1171</v>
      </c>
      <c r="C50" s="14" t="s">
        <v>1172</v>
      </c>
      <c r="D50" s="23" t="s">
        <v>1072</v>
      </c>
      <c r="E50" s="16" t="s">
        <v>1163</v>
      </c>
      <c r="F50" s="16" t="s">
        <v>1173</v>
      </c>
      <c r="G50" s="16"/>
    </row>
    <row r="51" spans="1:7" x14ac:dyDescent="0.25">
      <c r="A51" s="14"/>
      <c r="B51" s="14" t="s">
        <v>1171</v>
      </c>
      <c r="C51" s="14" t="s">
        <v>1174</v>
      </c>
      <c r="D51" s="23" t="s">
        <v>1072</v>
      </c>
      <c r="E51" s="16" t="s">
        <v>1163</v>
      </c>
      <c r="F51" s="16" t="s">
        <v>1175</v>
      </c>
      <c r="G51" s="16"/>
    </row>
    <row r="52" spans="1:7" x14ac:dyDescent="0.25">
      <c r="A52" s="14"/>
      <c r="B52" s="14" t="s">
        <v>1171</v>
      </c>
      <c r="C52" s="14" t="s">
        <v>445</v>
      </c>
      <c r="D52" s="23" t="s">
        <v>1072</v>
      </c>
      <c r="E52" s="16" t="s">
        <v>1163</v>
      </c>
      <c r="F52" s="16" t="s">
        <v>1176</v>
      </c>
      <c r="G52" s="16"/>
    </row>
    <row r="53" spans="1:7" ht="25.5" x14ac:dyDescent="0.25">
      <c r="A53" s="14"/>
      <c r="B53" s="14" t="s">
        <v>1171</v>
      </c>
      <c r="C53" s="14" t="s">
        <v>1086</v>
      </c>
      <c r="D53" s="23" t="s">
        <v>1072</v>
      </c>
      <c r="E53" s="16" t="s">
        <v>1163</v>
      </c>
      <c r="F53" s="16" t="s">
        <v>1177</v>
      </c>
      <c r="G53" s="16"/>
    </row>
    <row r="54" spans="1:7" x14ac:dyDescent="0.25">
      <c r="A54" s="14"/>
      <c r="B54" s="14" t="s">
        <v>1171</v>
      </c>
      <c r="C54" s="14" t="s">
        <v>1178</v>
      </c>
      <c r="D54" s="23" t="s">
        <v>1072</v>
      </c>
      <c r="E54" s="16" t="s">
        <v>1163</v>
      </c>
      <c r="F54" s="16" t="s">
        <v>1179</v>
      </c>
      <c r="G54" s="16"/>
    </row>
    <row r="55" spans="1:7" ht="38.25" x14ac:dyDescent="0.25">
      <c r="A55" s="14"/>
      <c r="B55" s="14" t="s">
        <v>1180</v>
      </c>
      <c r="C55" s="14" t="s">
        <v>1181</v>
      </c>
      <c r="D55" s="14" t="s">
        <v>212</v>
      </c>
      <c r="E55" s="16" t="s">
        <v>1182</v>
      </c>
      <c r="F55" s="16"/>
      <c r="G55" s="16" t="s">
        <v>1183</v>
      </c>
    </row>
    <row r="56" spans="1:7" ht="25.5" x14ac:dyDescent="0.25">
      <c r="A56" s="14"/>
      <c r="B56" s="14" t="s">
        <v>1184</v>
      </c>
      <c r="C56" s="14" t="s">
        <v>1185</v>
      </c>
      <c r="D56" s="14" t="s">
        <v>1110</v>
      </c>
      <c r="E56" s="16" t="s">
        <v>1186</v>
      </c>
      <c r="F56" s="16"/>
      <c r="G56" s="16" t="s">
        <v>1187</v>
      </c>
    </row>
    <row r="57" spans="1:7" ht="25.5" x14ac:dyDescent="0.25">
      <c r="A57" s="14"/>
      <c r="B57" s="14" t="s">
        <v>1188</v>
      </c>
      <c r="C57" s="14" t="s">
        <v>302</v>
      </c>
      <c r="D57" s="14" t="s">
        <v>212</v>
      </c>
      <c r="E57" s="16" t="s">
        <v>1189</v>
      </c>
      <c r="F57" s="16"/>
      <c r="G57" s="16"/>
    </row>
    <row r="58" spans="1:7" ht="25.5" x14ac:dyDescent="0.25">
      <c r="A58" s="14"/>
      <c r="B58" s="14" t="s">
        <v>1188</v>
      </c>
      <c r="C58" s="14" t="s">
        <v>1190</v>
      </c>
      <c r="D58" s="14" t="s">
        <v>1110</v>
      </c>
      <c r="E58" s="16" t="s">
        <v>1191</v>
      </c>
      <c r="F58" s="16"/>
      <c r="G58" s="16"/>
    </row>
    <row r="59" spans="1:7" x14ac:dyDescent="0.25">
      <c r="A59" s="14"/>
      <c r="B59" s="14" t="s">
        <v>1188</v>
      </c>
      <c r="C59" s="14" t="s">
        <v>1192</v>
      </c>
      <c r="D59" s="15" t="s">
        <v>1059</v>
      </c>
      <c r="E59" s="16" t="s">
        <v>278</v>
      </c>
      <c r="F59" s="16"/>
      <c r="G59" s="16"/>
    </row>
    <row r="60" spans="1:7" ht="25.5" x14ac:dyDescent="0.25">
      <c r="A60" s="14"/>
      <c r="B60" s="14" t="s">
        <v>1188</v>
      </c>
      <c r="C60" s="14" t="s">
        <v>1193</v>
      </c>
      <c r="D60" s="14" t="s">
        <v>1110</v>
      </c>
      <c r="E60" s="16" t="s">
        <v>1194</v>
      </c>
      <c r="F60" s="16"/>
      <c r="G60" s="16"/>
    </row>
    <row r="61" spans="1:7" ht="25.5" x14ac:dyDescent="0.25">
      <c r="A61" s="14"/>
      <c r="B61" s="14" t="s">
        <v>1195</v>
      </c>
      <c r="C61" s="14" t="s">
        <v>1196</v>
      </c>
      <c r="D61" s="15" t="s">
        <v>1059</v>
      </c>
      <c r="E61" s="16" t="s">
        <v>1197</v>
      </c>
      <c r="F61" s="16"/>
      <c r="G61" s="16" t="s">
        <v>1198</v>
      </c>
    </row>
    <row r="62" spans="1:7" x14ac:dyDescent="0.25">
      <c r="A62" s="14"/>
      <c r="B62" s="14" t="s">
        <v>1195</v>
      </c>
      <c r="C62" s="14" t="s">
        <v>1199</v>
      </c>
      <c r="D62" s="15" t="s">
        <v>1059</v>
      </c>
      <c r="E62" s="16" t="s">
        <v>1197</v>
      </c>
      <c r="F62" s="16"/>
      <c r="G62" s="16"/>
    </row>
    <row r="63" spans="1:7" x14ac:dyDescent="0.25">
      <c r="A63" s="14"/>
      <c r="B63" s="14" t="s">
        <v>1195</v>
      </c>
      <c r="C63" s="14" t="s">
        <v>1200</v>
      </c>
      <c r="D63" s="15" t="s">
        <v>1059</v>
      </c>
      <c r="E63" s="16" t="s">
        <v>1197</v>
      </c>
      <c r="F63" s="16"/>
      <c r="G63" s="16"/>
    </row>
    <row r="64" spans="1:7" ht="25.5" x14ac:dyDescent="0.25">
      <c r="A64" s="14"/>
      <c r="B64" s="14" t="s">
        <v>1195</v>
      </c>
      <c r="C64" s="14" t="s">
        <v>1141</v>
      </c>
      <c r="D64" s="23" t="s">
        <v>1072</v>
      </c>
      <c r="E64" s="16" t="s">
        <v>1142</v>
      </c>
      <c r="F64" s="16" t="s">
        <v>1201</v>
      </c>
      <c r="G64" s="16"/>
    </row>
    <row r="65" spans="1:7" x14ac:dyDescent="0.25">
      <c r="A65" s="14"/>
      <c r="B65" s="14" t="s">
        <v>1195</v>
      </c>
      <c r="C65" s="14" t="s">
        <v>1202</v>
      </c>
      <c r="D65" s="15" t="s">
        <v>1059</v>
      </c>
      <c r="E65" s="16" t="s">
        <v>1203</v>
      </c>
      <c r="F65" s="16"/>
      <c r="G65" s="16" t="s">
        <v>1204</v>
      </c>
    </row>
    <row r="66" spans="1:7" ht="15" customHeight="1" x14ac:dyDescent="0.25">
      <c r="A66" s="27" t="s">
        <v>1205</v>
      </c>
      <c r="B66" s="1" t="s">
        <v>1206</v>
      </c>
      <c r="C66" s="1"/>
      <c r="D66" s="1"/>
      <c r="E66" s="1"/>
      <c r="F66" s="1"/>
      <c r="G66" s="1"/>
    </row>
    <row r="67" spans="1:7" ht="25.5" x14ac:dyDescent="0.25">
      <c r="A67" s="14"/>
      <c r="B67" s="14" t="s">
        <v>1207</v>
      </c>
      <c r="C67" s="14" t="s">
        <v>1208</v>
      </c>
      <c r="D67" s="15" t="s">
        <v>1059</v>
      </c>
      <c r="E67" s="16" t="s">
        <v>1209</v>
      </c>
      <c r="F67" s="16"/>
      <c r="G67" s="16" t="s">
        <v>1210</v>
      </c>
    </row>
    <row r="68" spans="1:7" ht="25.5" x14ac:dyDescent="0.25">
      <c r="A68" s="14"/>
      <c r="B68" s="14" t="s">
        <v>1207</v>
      </c>
      <c r="C68" s="14" t="s">
        <v>1211</v>
      </c>
      <c r="D68" s="15" t="s">
        <v>1059</v>
      </c>
      <c r="E68" s="16" t="s">
        <v>612</v>
      </c>
      <c r="F68" s="16"/>
      <c r="G68" s="16" t="s">
        <v>1212</v>
      </c>
    </row>
    <row r="69" spans="1:7" ht="25.5" x14ac:dyDescent="0.25">
      <c r="A69" s="14"/>
      <c r="B69" s="14" t="s">
        <v>1207</v>
      </c>
      <c r="C69" s="14" t="s">
        <v>1213</v>
      </c>
      <c r="D69" s="14" t="s">
        <v>212</v>
      </c>
      <c r="E69" s="16" t="s">
        <v>1214</v>
      </c>
      <c r="F69" s="16"/>
      <c r="G69" s="16" t="s">
        <v>1215</v>
      </c>
    </row>
    <row r="70" spans="1:7" x14ac:dyDescent="0.25">
      <c r="A70" s="14"/>
      <c r="B70" s="14" t="s">
        <v>1207</v>
      </c>
      <c r="C70" s="14" t="s">
        <v>1216</v>
      </c>
      <c r="D70" s="15" t="s">
        <v>1059</v>
      </c>
      <c r="E70" s="16" t="s">
        <v>1217</v>
      </c>
      <c r="F70" s="16"/>
      <c r="G70" s="16"/>
    </row>
    <row r="71" spans="1:7" x14ac:dyDescent="0.25">
      <c r="A71" s="14"/>
      <c r="B71" s="14" t="s">
        <v>1207</v>
      </c>
      <c r="C71" s="14" t="s">
        <v>1218</v>
      </c>
      <c r="D71" s="15" t="s">
        <v>1059</v>
      </c>
      <c r="E71" s="16" t="s">
        <v>488</v>
      </c>
      <c r="F71" s="16"/>
      <c r="G71" s="16"/>
    </row>
    <row r="72" spans="1:7" ht="38.25" x14ac:dyDescent="0.25">
      <c r="A72" s="14"/>
      <c r="B72" s="14" t="s">
        <v>1207</v>
      </c>
      <c r="C72" s="14" t="s">
        <v>1219</v>
      </c>
      <c r="D72" s="14" t="s">
        <v>212</v>
      </c>
      <c r="E72" s="16" t="s">
        <v>1220</v>
      </c>
      <c r="F72" s="16"/>
      <c r="G72" s="16" t="s">
        <v>1221</v>
      </c>
    </row>
    <row r="73" spans="1:7" ht="25.5" x14ac:dyDescent="0.25">
      <c r="A73" s="14"/>
      <c r="B73" s="14" t="s">
        <v>1207</v>
      </c>
      <c r="C73" s="14" t="s">
        <v>1222</v>
      </c>
      <c r="D73" s="15" t="s">
        <v>1059</v>
      </c>
      <c r="E73" s="16" t="s">
        <v>1223</v>
      </c>
      <c r="F73" s="16"/>
      <c r="G73" s="16" t="s">
        <v>1224</v>
      </c>
    </row>
    <row r="74" spans="1:7" ht="38.25" x14ac:dyDescent="0.25">
      <c r="A74" s="14"/>
      <c r="B74" s="14" t="s">
        <v>1207</v>
      </c>
      <c r="C74" s="14" t="s">
        <v>1225</v>
      </c>
      <c r="D74" s="15" t="s">
        <v>1059</v>
      </c>
      <c r="E74" s="16" t="s">
        <v>1209</v>
      </c>
      <c r="F74" s="16"/>
      <c r="G74" s="16" t="s">
        <v>1226</v>
      </c>
    </row>
    <row r="75" spans="1:7" x14ac:dyDescent="0.25">
      <c r="A75" s="14"/>
      <c r="B75" s="14" t="s">
        <v>1227</v>
      </c>
      <c r="C75" s="14" t="s">
        <v>1228</v>
      </c>
      <c r="D75" s="23" t="s">
        <v>1072</v>
      </c>
      <c r="E75" s="16" t="s">
        <v>1229</v>
      </c>
      <c r="F75" s="16" t="s">
        <v>1230</v>
      </c>
      <c r="G75" s="16"/>
    </row>
    <row r="76" spans="1:7" x14ac:dyDescent="0.25">
      <c r="A76" s="14"/>
      <c r="B76" s="14" t="s">
        <v>1227</v>
      </c>
      <c r="C76" s="14" t="s">
        <v>1231</v>
      </c>
      <c r="D76" s="23" t="s">
        <v>1072</v>
      </c>
      <c r="E76" s="16" t="s">
        <v>1229</v>
      </c>
      <c r="F76" s="16" t="s">
        <v>1232</v>
      </c>
      <c r="G76" s="16"/>
    </row>
    <row r="77" spans="1:7" ht="25.5" x14ac:dyDescent="0.25">
      <c r="A77" s="14"/>
      <c r="B77" s="14" t="s">
        <v>1227</v>
      </c>
      <c r="C77" s="14" t="s">
        <v>1233</v>
      </c>
      <c r="D77" s="23" t="s">
        <v>1072</v>
      </c>
      <c r="E77" s="16" t="s">
        <v>1229</v>
      </c>
      <c r="F77" s="16" t="s">
        <v>1234</v>
      </c>
      <c r="G77" s="16"/>
    </row>
    <row r="78" spans="1:7" ht="51" x14ac:dyDescent="0.25">
      <c r="A78" s="14"/>
      <c r="B78" s="14" t="s">
        <v>1227</v>
      </c>
      <c r="C78" s="14" t="s">
        <v>1235</v>
      </c>
      <c r="D78" s="23" t="s">
        <v>1072</v>
      </c>
      <c r="E78" s="16" t="s">
        <v>1229</v>
      </c>
      <c r="F78" s="16" t="s">
        <v>1236</v>
      </c>
      <c r="G78" s="16"/>
    </row>
    <row r="79" spans="1:7" x14ac:dyDescent="0.25">
      <c r="A79" s="14"/>
      <c r="B79" s="14" t="s">
        <v>1227</v>
      </c>
      <c r="C79" s="14" t="s">
        <v>1237</v>
      </c>
      <c r="D79" s="23" t="s">
        <v>1072</v>
      </c>
      <c r="E79" s="16" t="s">
        <v>1229</v>
      </c>
      <c r="F79" s="16" t="s">
        <v>1238</v>
      </c>
      <c r="G79" s="16"/>
    </row>
    <row r="80" spans="1:7" ht="25.5" x14ac:dyDescent="0.25">
      <c r="A80" s="14"/>
      <c r="B80" s="14" t="s">
        <v>1227</v>
      </c>
      <c r="C80" s="14" t="s">
        <v>1239</v>
      </c>
      <c r="D80" s="23" t="s">
        <v>1072</v>
      </c>
      <c r="E80" s="16" t="s">
        <v>1229</v>
      </c>
      <c r="F80" s="16" t="s">
        <v>1240</v>
      </c>
      <c r="G80" s="16"/>
    </row>
    <row r="81" spans="1:7" ht="25.5" x14ac:dyDescent="0.25">
      <c r="A81" s="14"/>
      <c r="B81" s="14" t="s">
        <v>1227</v>
      </c>
      <c r="C81" s="14" t="s">
        <v>1241</v>
      </c>
      <c r="D81" s="23" t="s">
        <v>1072</v>
      </c>
      <c r="E81" s="16" t="s">
        <v>1229</v>
      </c>
      <c r="F81" s="16" t="s">
        <v>1242</v>
      </c>
      <c r="G81" s="16"/>
    </row>
    <row r="82" spans="1:7" x14ac:dyDescent="0.25">
      <c r="A82" s="14"/>
      <c r="B82" s="14" t="s">
        <v>1227</v>
      </c>
      <c r="C82" s="14" t="s">
        <v>1243</v>
      </c>
      <c r="D82" s="23" t="s">
        <v>1072</v>
      </c>
      <c r="E82" s="16" t="s">
        <v>1229</v>
      </c>
      <c r="F82" s="16" t="s">
        <v>1244</v>
      </c>
      <c r="G82" s="16"/>
    </row>
    <row r="83" spans="1:7" x14ac:dyDescent="0.25">
      <c r="A83" s="14"/>
      <c r="B83" s="14" t="s">
        <v>1227</v>
      </c>
      <c r="C83" s="14" t="s">
        <v>1245</v>
      </c>
      <c r="D83" s="15" t="s">
        <v>1059</v>
      </c>
      <c r="E83" s="16" t="s">
        <v>1223</v>
      </c>
      <c r="F83" s="16"/>
      <c r="G83" s="16"/>
    </row>
    <row r="84" spans="1:7" ht="38.25" x14ac:dyDescent="0.25">
      <c r="A84" s="14"/>
      <c r="B84" s="14" t="s">
        <v>1227</v>
      </c>
      <c r="C84" s="14" t="s">
        <v>1246</v>
      </c>
      <c r="D84" s="14" t="s">
        <v>1110</v>
      </c>
      <c r="E84" s="16" t="s">
        <v>1247</v>
      </c>
      <c r="F84" s="16"/>
      <c r="G84" s="16" t="s">
        <v>1248</v>
      </c>
    </row>
    <row r="87" spans="1:7" ht="15" customHeight="1" x14ac:dyDescent="0.25">
      <c r="A87" s="5" t="s">
        <v>1249</v>
      </c>
      <c r="B87" s="2" t="s">
        <v>1250</v>
      </c>
      <c r="C87" s="2"/>
      <c r="D87" s="2"/>
      <c r="E87" s="2"/>
      <c r="F87" s="2"/>
      <c r="G87" s="2"/>
    </row>
    <row r="88" spans="1:7" x14ac:dyDescent="0.25">
      <c r="A88" s="9" t="s">
        <v>1251</v>
      </c>
      <c r="B88" s="9" t="s">
        <v>1252</v>
      </c>
      <c r="C88" s="9" t="s">
        <v>448</v>
      </c>
      <c r="D88" s="9"/>
      <c r="E88" s="9" t="s">
        <v>1253</v>
      </c>
      <c r="F88" s="9" t="s">
        <v>854</v>
      </c>
      <c r="G88" s="9" t="s">
        <v>1254</v>
      </c>
    </row>
    <row r="89" spans="1:7" x14ac:dyDescent="0.25">
      <c r="A89" s="14" t="s">
        <v>1255</v>
      </c>
      <c r="B89" s="14" t="s">
        <v>1256</v>
      </c>
      <c r="C89" s="14" t="s">
        <v>1257</v>
      </c>
      <c r="D89" s="14"/>
      <c r="E89" s="16" t="s">
        <v>1258</v>
      </c>
      <c r="F89" s="16" t="s">
        <v>1259</v>
      </c>
      <c r="G89" s="16" t="s">
        <v>1260</v>
      </c>
    </row>
    <row r="90" spans="1:7" ht="25.5" x14ac:dyDescent="0.25">
      <c r="A90" s="18" t="s">
        <v>1261</v>
      </c>
      <c r="B90" s="18" t="s">
        <v>1262</v>
      </c>
      <c r="C90" s="18" t="s">
        <v>1257</v>
      </c>
      <c r="D90" s="18"/>
      <c r="E90" s="20" t="s">
        <v>1263</v>
      </c>
      <c r="F90" s="20" t="s">
        <v>1264</v>
      </c>
      <c r="G90" s="20" t="s">
        <v>1260</v>
      </c>
    </row>
    <row r="91" spans="1:7" ht="25.5" x14ac:dyDescent="0.25">
      <c r="A91" s="14" t="s">
        <v>1265</v>
      </c>
      <c r="B91" s="14" t="s">
        <v>1266</v>
      </c>
      <c r="C91" s="14" t="s">
        <v>1257</v>
      </c>
      <c r="D91" s="14"/>
      <c r="E91" s="16" t="s">
        <v>1267</v>
      </c>
      <c r="F91" s="16" t="s">
        <v>1268</v>
      </c>
      <c r="G91" s="16" t="s">
        <v>1260</v>
      </c>
    </row>
    <row r="92" spans="1:7" ht="25.5" x14ac:dyDescent="0.25">
      <c r="A92" s="18" t="s">
        <v>1269</v>
      </c>
      <c r="B92" s="18" t="s">
        <v>1270</v>
      </c>
      <c r="C92" s="18" t="s">
        <v>1257</v>
      </c>
      <c r="D92" s="18"/>
      <c r="E92" s="20" t="s">
        <v>1271</v>
      </c>
      <c r="F92" s="20" t="s">
        <v>1272</v>
      </c>
      <c r="G92" s="20" t="s">
        <v>1273</v>
      </c>
    </row>
    <row r="93" spans="1:7" ht="25.5" x14ac:dyDescent="0.25">
      <c r="A93" s="14" t="s">
        <v>1274</v>
      </c>
      <c r="B93" s="14" t="s">
        <v>1275</v>
      </c>
      <c r="C93" s="14" t="s">
        <v>1276</v>
      </c>
      <c r="D93" s="14"/>
      <c r="E93" s="16" t="s">
        <v>1277</v>
      </c>
      <c r="F93" s="16" t="s">
        <v>1278</v>
      </c>
      <c r="G93" s="16" t="s">
        <v>1260</v>
      </c>
    </row>
    <row r="94" spans="1:7" ht="25.5" x14ac:dyDescent="0.25">
      <c r="A94" s="18" t="s">
        <v>1279</v>
      </c>
      <c r="B94" s="18" t="s">
        <v>1280</v>
      </c>
      <c r="C94" s="18" t="s">
        <v>1276</v>
      </c>
      <c r="D94" s="18"/>
      <c r="E94" s="20" t="s">
        <v>1281</v>
      </c>
      <c r="F94" s="20" t="s">
        <v>738</v>
      </c>
      <c r="G94" s="20" t="s">
        <v>1282</v>
      </c>
    </row>
    <row r="95" spans="1:7" ht="25.5" x14ac:dyDescent="0.25">
      <c r="A95" s="14" t="s">
        <v>1283</v>
      </c>
      <c r="B95" s="14" t="s">
        <v>1284</v>
      </c>
      <c r="C95" s="14" t="s">
        <v>1285</v>
      </c>
      <c r="D95" s="14"/>
      <c r="E95" s="16" t="s">
        <v>1286</v>
      </c>
      <c r="F95" s="16" t="s">
        <v>1287</v>
      </c>
      <c r="G95" s="16" t="s">
        <v>1288</v>
      </c>
    </row>
    <row r="96" spans="1:7" ht="25.5" x14ac:dyDescent="0.25">
      <c r="A96" s="18" t="s">
        <v>1289</v>
      </c>
      <c r="B96" s="18" t="s">
        <v>1290</v>
      </c>
      <c r="C96" s="18" t="s">
        <v>1257</v>
      </c>
      <c r="D96" s="18"/>
      <c r="E96" s="20" t="s">
        <v>1291</v>
      </c>
      <c r="F96" s="20" t="s">
        <v>1292</v>
      </c>
      <c r="G96" s="20" t="s">
        <v>1293</v>
      </c>
    </row>
    <row r="97" spans="1:7" x14ac:dyDescent="0.25">
      <c r="A97" s="14" t="s">
        <v>1294</v>
      </c>
      <c r="B97" s="14" t="s">
        <v>1295</v>
      </c>
      <c r="C97" s="14" t="s">
        <v>1257</v>
      </c>
      <c r="D97" s="14"/>
      <c r="E97" s="16" t="s">
        <v>1296</v>
      </c>
      <c r="F97" s="16" t="s">
        <v>1297</v>
      </c>
      <c r="G97" s="16" t="s">
        <v>1298</v>
      </c>
    </row>
    <row r="98" spans="1:7" ht="25.5" x14ac:dyDescent="0.25">
      <c r="A98" s="18" t="s">
        <v>1299</v>
      </c>
      <c r="B98" s="18" t="s">
        <v>1300</v>
      </c>
      <c r="C98" s="18" t="s">
        <v>1257</v>
      </c>
      <c r="D98" s="18"/>
      <c r="E98" s="20" t="s">
        <v>1301</v>
      </c>
      <c r="F98" s="20" t="s">
        <v>1302</v>
      </c>
      <c r="G98" s="20" t="s">
        <v>1260</v>
      </c>
    </row>
    <row r="99" spans="1:7" ht="38.25" x14ac:dyDescent="0.25">
      <c r="A99" s="14" t="s">
        <v>1303</v>
      </c>
      <c r="B99" s="14" t="s">
        <v>1304</v>
      </c>
      <c r="C99" s="14" t="s">
        <v>1305</v>
      </c>
      <c r="D99" s="14"/>
      <c r="E99" s="16" t="s">
        <v>1306</v>
      </c>
      <c r="F99" s="16" t="s">
        <v>1307</v>
      </c>
      <c r="G99" s="16" t="s">
        <v>1308</v>
      </c>
    </row>
    <row r="101" spans="1:7" ht="15" customHeight="1" x14ac:dyDescent="0.25">
      <c r="A101" s="5" t="s">
        <v>1309</v>
      </c>
      <c r="B101" s="2" t="s">
        <v>1310</v>
      </c>
      <c r="C101" s="2"/>
      <c r="D101" s="2"/>
      <c r="E101" s="2"/>
      <c r="F101" s="2"/>
      <c r="G101" s="2"/>
    </row>
    <row r="102" spans="1:7" x14ac:dyDescent="0.25">
      <c r="A102" s="14"/>
      <c r="B102" s="23" t="s">
        <v>1121</v>
      </c>
      <c r="C102" s="14" t="s">
        <v>1311</v>
      </c>
      <c r="D102" s="14"/>
      <c r="E102" s="14"/>
      <c r="F102" s="14"/>
      <c r="G102" s="14"/>
    </row>
    <row r="103" spans="1:7" x14ac:dyDescent="0.25">
      <c r="A103" s="14"/>
      <c r="B103" s="23" t="s">
        <v>1159</v>
      </c>
      <c r="C103" s="14" t="s">
        <v>1312</v>
      </c>
      <c r="D103" s="14"/>
      <c r="E103" s="14"/>
      <c r="F103" s="14"/>
      <c r="G103" s="14"/>
    </row>
    <row r="104" spans="1:7" x14ac:dyDescent="0.25">
      <c r="A104" s="14"/>
      <c r="B104" s="23" t="s">
        <v>1142</v>
      </c>
      <c r="C104" s="14" t="s">
        <v>1311</v>
      </c>
      <c r="D104" s="14"/>
      <c r="E104" s="14"/>
      <c r="F104" s="14"/>
      <c r="G104" s="14"/>
    </row>
    <row r="105" spans="1:7" x14ac:dyDescent="0.25">
      <c r="A105" s="14"/>
      <c r="B105" s="23" t="s">
        <v>1153</v>
      </c>
      <c r="C105" s="14" t="s">
        <v>1313</v>
      </c>
      <c r="D105" s="14"/>
      <c r="E105" s="14"/>
      <c r="F105" s="14"/>
      <c r="G105" s="14"/>
    </row>
    <row r="106" spans="1:7" x14ac:dyDescent="0.25">
      <c r="A106" s="14"/>
      <c r="B106" s="23" t="s">
        <v>1077</v>
      </c>
      <c r="C106" s="14" t="s">
        <v>1314</v>
      </c>
      <c r="D106" s="14"/>
      <c r="E106" s="14"/>
      <c r="F106" s="14"/>
      <c r="G106" s="14"/>
    </row>
    <row r="107" spans="1:7" x14ac:dyDescent="0.25">
      <c r="A107" s="14"/>
      <c r="B107" s="23" t="s">
        <v>1087</v>
      </c>
      <c r="C107" s="14" t="s">
        <v>1312</v>
      </c>
      <c r="D107" s="14"/>
      <c r="E107" s="14"/>
      <c r="F107" s="14"/>
      <c r="G107" s="14"/>
    </row>
    <row r="108" spans="1:7" x14ac:dyDescent="0.25">
      <c r="A108" s="14"/>
      <c r="B108" s="23" t="s">
        <v>1163</v>
      </c>
      <c r="C108" s="14" t="s">
        <v>1315</v>
      </c>
      <c r="D108" s="14"/>
      <c r="E108" s="14"/>
      <c r="F108" s="14"/>
      <c r="G108" s="14"/>
    </row>
    <row r="109" spans="1:7" x14ac:dyDescent="0.25">
      <c r="A109" s="14"/>
      <c r="B109" s="23" t="s">
        <v>1105</v>
      </c>
      <c r="C109" s="14" t="s">
        <v>1311</v>
      </c>
      <c r="D109" s="14"/>
      <c r="E109" s="14"/>
      <c r="F109" s="14"/>
      <c r="G109" s="14"/>
    </row>
    <row r="110" spans="1:7" x14ac:dyDescent="0.25">
      <c r="A110" s="14"/>
      <c r="B110" s="23" t="s">
        <v>1073</v>
      </c>
      <c r="C110" s="14" t="s">
        <v>1314</v>
      </c>
      <c r="D110" s="14"/>
      <c r="E110" s="14"/>
      <c r="F110" s="14"/>
      <c r="G110" s="14"/>
    </row>
    <row r="111" spans="1:7" x14ac:dyDescent="0.25">
      <c r="A111" s="14"/>
      <c r="B111" s="23" t="s">
        <v>1229</v>
      </c>
      <c r="C111" s="14" t="s">
        <v>1316</v>
      </c>
      <c r="D111" s="14"/>
      <c r="E111" s="14"/>
      <c r="F111" s="14"/>
      <c r="G111" s="14"/>
    </row>
  </sheetData>
  <mergeCells count="7">
    <mergeCell ref="B87:G87"/>
    <mergeCell ref="B101:G101"/>
    <mergeCell ref="A2:G2"/>
    <mergeCell ref="B5:G5"/>
    <mergeCell ref="B23:G23"/>
    <mergeCell ref="B34:G34"/>
    <mergeCell ref="B66:G6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715F2-8753-4486-AE11-8CFF4AE955C1}">
  <dimension ref="A1:H30"/>
  <sheetViews>
    <sheetView tabSelected="1" workbookViewId="0">
      <selection activeCell="C36" sqref="C36"/>
    </sheetView>
  </sheetViews>
  <sheetFormatPr defaultRowHeight="15" x14ac:dyDescent="0.25"/>
  <cols>
    <col min="1" max="1" width="23" customWidth="1"/>
    <col min="2" max="2" width="13" customWidth="1"/>
    <col min="3" max="3" width="32" customWidth="1"/>
    <col min="4" max="4" width="20" customWidth="1"/>
    <col min="5" max="5" width="42" customWidth="1"/>
    <col min="6" max="6" width="21" customWidth="1"/>
    <col min="7" max="7" width="22" customWidth="1"/>
    <col min="8" max="8" width="14" customWidth="1"/>
  </cols>
  <sheetData>
    <row r="1" spans="1:8" ht="23.25" x14ac:dyDescent="0.25">
      <c r="A1" s="32" t="s">
        <v>1615</v>
      </c>
      <c r="B1" s="32"/>
      <c r="C1" s="32"/>
      <c r="D1" s="32"/>
      <c r="E1" s="32"/>
      <c r="F1" s="32"/>
      <c r="G1" s="32"/>
      <c r="H1" s="32"/>
    </row>
    <row r="2" spans="1:8" x14ac:dyDescent="0.25">
      <c r="A2" s="33" t="s">
        <v>1616</v>
      </c>
      <c r="B2" s="33"/>
      <c r="C2" s="33"/>
      <c r="D2" s="33"/>
      <c r="E2" s="33"/>
      <c r="F2" s="33"/>
      <c r="G2" s="33"/>
      <c r="H2" s="33"/>
    </row>
    <row r="3" spans="1:8" x14ac:dyDescent="0.25">
      <c r="A3" s="34"/>
      <c r="B3" s="34"/>
      <c r="C3" s="34"/>
      <c r="D3" s="34"/>
      <c r="E3" s="34"/>
      <c r="F3" s="34"/>
      <c r="G3" s="34"/>
      <c r="H3" s="34"/>
    </row>
    <row r="4" spans="1:8" x14ac:dyDescent="0.25">
      <c r="A4" s="35" t="s">
        <v>1617</v>
      </c>
      <c r="B4" s="35"/>
      <c r="C4" s="35" t="s">
        <v>1618</v>
      </c>
      <c r="D4" s="35"/>
      <c r="E4" s="35" t="s">
        <v>1619</v>
      </c>
      <c r="F4" s="35"/>
      <c r="G4" s="35" t="s">
        <v>1620</v>
      </c>
      <c r="H4" s="35"/>
    </row>
    <row r="5" spans="1:8" x14ac:dyDescent="0.25">
      <c r="A5" s="36" t="s">
        <v>1621</v>
      </c>
      <c r="B5" s="36"/>
      <c r="C5" s="36" t="s">
        <v>1622</v>
      </c>
      <c r="D5" s="36"/>
      <c r="E5" s="36" t="s">
        <v>1623</v>
      </c>
      <c r="F5" s="36"/>
      <c r="G5" s="36" t="s">
        <v>1624</v>
      </c>
      <c r="H5" s="36"/>
    </row>
    <row r="6" spans="1:8" x14ac:dyDescent="0.25">
      <c r="A6" s="34"/>
      <c r="B6" s="34"/>
      <c r="C6" s="34"/>
      <c r="D6" s="34"/>
      <c r="E6" s="34"/>
      <c r="F6" s="34"/>
      <c r="G6" s="34"/>
      <c r="H6" s="34"/>
    </row>
    <row r="7" spans="1:8" x14ac:dyDescent="0.25">
      <c r="A7" s="35" t="s">
        <v>1625</v>
      </c>
      <c r="B7" s="35"/>
      <c r="C7" s="35"/>
      <c r="D7" s="35"/>
      <c r="E7" s="35"/>
      <c r="F7" s="35"/>
      <c r="G7" s="35"/>
      <c r="H7" s="35"/>
    </row>
    <row r="8" spans="1:8" ht="33" customHeight="1" x14ac:dyDescent="0.25">
      <c r="A8" s="37" t="s">
        <v>1626</v>
      </c>
      <c r="B8" s="38"/>
      <c r="C8" s="38"/>
      <c r="D8" s="38"/>
      <c r="E8" s="38"/>
      <c r="F8" s="38"/>
      <c r="G8" s="38"/>
      <c r="H8" s="39"/>
    </row>
    <row r="9" spans="1:8" ht="33" customHeight="1" x14ac:dyDescent="0.25">
      <c r="A9" s="40"/>
      <c r="B9" s="41"/>
      <c r="C9" s="41"/>
      <c r="D9" s="41"/>
      <c r="E9" s="41"/>
      <c r="F9" s="41"/>
      <c r="G9" s="41"/>
      <c r="H9" s="42"/>
    </row>
    <row r="10" spans="1:8" x14ac:dyDescent="0.25">
      <c r="A10" s="34"/>
      <c r="B10" s="34"/>
      <c r="C10" s="34"/>
      <c r="D10" s="34"/>
      <c r="E10" s="34"/>
      <c r="F10" s="34"/>
      <c r="G10" s="34"/>
      <c r="H10" s="34"/>
    </row>
    <row r="11" spans="1:8" x14ac:dyDescent="0.25">
      <c r="A11" s="35" t="s">
        <v>1627</v>
      </c>
      <c r="B11" s="35"/>
      <c r="C11" s="35"/>
      <c r="D11" s="35"/>
      <c r="E11" s="35"/>
      <c r="F11" s="35"/>
      <c r="G11" s="35"/>
      <c r="H11" s="35"/>
    </row>
    <row r="12" spans="1:8" x14ac:dyDescent="0.25">
      <c r="A12" s="43" t="s">
        <v>1628</v>
      </c>
      <c r="B12" s="43" t="s">
        <v>1629</v>
      </c>
      <c r="C12" s="43" t="s">
        <v>1630</v>
      </c>
      <c r="D12" s="43" t="s">
        <v>1631</v>
      </c>
      <c r="E12" s="43" t="s">
        <v>1632</v>
      </c>
      <c r="F12" s="43" t="s">
        <v>1633</v>
      </c>
      <c r="G12" s="43" t="s">
        <v>1634</v>
      </c>
      <c r="H12" s="43" t="s">
        <v>89</v>
      </c>
    </row>
    <row r="13" spans="1:8" ht="25.5" x14ac:dyDescent="0.25">
      <c r="A13" s="44" t="s">
        <v>1635</v>
      </c>
      <c r="B13" s="44" t="s">
        <v>1636</v>
      </c>
      <c r="C13" s="44" t="s">
        <v>1637</v>
      </c>
      <c r="D13" s="44" t="s">
        <v>1325</v>
      </c>
      <c r="E13" s="44" t="s">
        <v>1638</v>
      </c>
      <c r="F13" s="44" t="s">
        <v>1639</v>
      </c>
      <c r="G13" s="44" t="s">
        <v>1640</v>
      </c>
      <c r="H13" s="44" t="s">
        <v>767</v>
      </c>
    </row>
    <row r="14" spans="1:8" ht="25.5" x14ac:dyDescent="0.25">
      <c r="A14" s="44" t="s">
        <v>1641</v>
      </c>
      <c r="B14" s="44" t="s">
        <v>1642</v>
      </c>
      <c r="C14" s="44" t="s">
        <v>1643</v>
      </c>
      <c r="D14" s="44" t="s">
        <v>1386</v>
      </c>
      <c r="E14" s="44" t="s">
        <v>1644</v>
      </c>
      <c r="F14" s="44" t="s">
        <v>1645</v>
      </c>
      <c r="G14" s="44" t="s">
        <v>1646</v>
      </c>
      <c r="H14" s="44" t="s">
        <v>767</v>
      </c>
    </row>
    <row r="15" spans="1:8" ht="38.25" x14ac:dyDescent="0.25">
      <c r="A15" s="44" t="s">
        <v>1647</v>
      </c>
      <c r="B15" s="44" t="s">
        <v>1648</v>
      </c>
      <c r="C15" s="44" t="s">
        <v>1649</v>
      </c>
      <c r="D15" s="44" t="s">
        <v>1341</v>
      </c>
      <c r="E15" s="44" t="s">
        <v>1650</v>
      </c>
      <c r="F15" s="44" t="s">
        <v>1651</v>
      </c>
      <c r="G15" s="44" t="s">
        <v>1652</v>
      </c>
      <c r="H15" s="44" t="s">
        <v>767</v>
      </c>
    </row>
    <row r="16" spans="1:8" ht="25.5" x14ac:dyDescent="0.25">
      <c r="A16" s="44" t="s">
        <v>1653</v>
      </c>
      <c r="B16" s="44" t="s">
        <v>1654</v>
      </c>
      <c r="C16" s="44" t="s">
        <v>1655</v>
      </c>
      <c r="D16" s="44" t="s">
        <v>1379</v>
      </c>
      <c r="E16" s="44" t="s">
        <v>1656</v>
      </c>
      <c r="F16" s="44" t="s">
        <v>1657</v>
      </c>
      <c r="G16" s="44" t="s">
        <v>1658</v>
      </c>
      <c r="H16" s="44" t="s">
        <v>767</v>
      </c>
    </row>
    <row r="17" spans="1:8" ht="38.25" x14ac:dyDescent="0.25">
      <c r="A17" s="44" t="s">
        <v>1659</v>
      </c>
      <c r="B17" s="44" t="s">
        <v>1660</v>
      </c>
      <c r="C17" s="44" t="s">
        <v>1661</v>
      </c>
      <c r="D17" s="44" t="s">
        <v>1662</v>
      </c>
      <c r="E17" s="44" t="s">
        <v>1663</v>
      </c>
      <c r="F17" s="44" t="s">
        <v>1664</v>
      </c>
      <c r="G17" s="44" t="s">
        <v>1665</v>
      </c>
      <c r="H17" s="44" t="s">
        <v>767</v>
      </c>
    </row>
    <row r="18" spans="1:8" ht="38.25" x14ac:dyDescent="0.25">
      <c r="A18" s="45" t="s">
        <v>1666</v>
      </c>
      <c r="B18" s="45" t="s">
        <v>1667</v>
      </c>
      <c r="C18" s="45" t="s">
        <v>1668</v>
      </c>
      <c r="D18" s="45" t="s">
        <v>1669</v>
      </c>
      <c r="E18" s="45" t="s">
        <v>1670</v>
      </c>
      <c r="F18" s="45" t="s">
        <v>1671</v>
      </c>
      <c r="G18" s="45" t="s">
        <v>1672</v>
      </c>
      <c r="H18" s="45" t="s">
        <v>767</v>
      </c>
    </row>
    <row r="19" spans="1:8" x14ac:dyDescent="0.25">
      <c r="A19" s="34"/>
      <c r="B19" s="34"/>
      <c r="C19" s="34"/>
      <c r="D19" s="34"/>
      <c r="E19" s="34"/>
      <c r="F19" s="34"/>
      <c r="G19" s="34"/>
      <c r="H19" s="34"/>
    </row>
    <row r="20" spans="1:8" x14ac:dyDescent="0.25">
      <c r="A20" s="34"/>
      <c r="B20" s="34"/>
      <c r="C20" s="34"/>
      <c r="D20" s="34"/>
      <c r="E20" s="34"/>
      <c r="F20" s="34"/>
      <c r="G20" s="34"/>
      <c r="H20" s="34"/>
    </row>
    <row r="21" spans="1:8" x14ac:dyDescent="0.25">
      <c r="A21" s="35" t="s">
        <v>1673</v>
      </c>
      <c r="B21" s="35"/>
      <c r="C21" s="35"/>
      <c r="D21" s="35"/>
      <c r="E21" s="35"/>
      <c r="F21" s="35"/>
      <c r="G21" s="35"/>
      <c r="H21" s="35"/>
    </row>
    <row r="22" spans="1:8" x14ac:dyDescent="0.25">
      <c r="A22" s="43" t="s">
        <v>1674</v>
      </c>
      <c r="B22" s="43" t="s">
        <v>1675</v>
      </c>
      <c r="C22" s="43" t="s">
        <v>1676</v>
      </c>
      <c r="D22" s="43" t="s">
        <v>1677</v>
      </c>
      <c r="E22" s="34"/>
      <c r="F22" s="34"/>
      <c r="G22" s="34"/>
      <c r="H22" s="34"/>
    </row>
    <row r="23" spans="1:8" ht="38.25" x14ac:dyDescent="0.25">
      <c r="A23" s="44" t="s">
        <v>1678</v>
      </c>
      <c r="B23" s="44" t="s">
        <v>1679</v>
      </c>
      <c r="C23" s="44" t="s">
        <v>1680</v>
      </c>
      <c r="D23" s="44" t="s">
        <v>1681</v>
      </c>
      <c r="E23" s="34"/>
      <c r="F23" s="34"/>
      <c r="G23" s="34"/>
      <c r="H23" s="34"/>
    </row>
    <row r="24" spans="1:8" ht="25.5" x14ac:dyDescent="0.25">
      <c r="A24" s="44" t="s">
        <v>1682</v>
      </c>
      <c r="B24" s="44" t="s">
        <v>1683</v>
      </c>
      <c r="C24" s="44" t="s">
        <v>1684</v>
      </c>
      <c r="D24" s="44" t="s">
        <v>1685</v>
      </c>
      <c r="E24" s="34"/>
      <c r="F24" s="34"/>
      <c r="G24" s="34"/>
      <c r="H24" s="34"/>
    </row>
    <row r="25" spans="1:8" ht="38.25" x14ac:dyDescent="0.25">
      <c r="A25" s="44" t="s">
        <v>1686</v>
      </c>
      <c r="B25" s="44" t="s">
        <v>1687</v>
      </c>
      <c r="C25" s="44" t="s">
        <v>1688</v>
      </c>
      <c r="D25" s="44" t="s">
        <v>1689</v>
      </c>
      <c r="E25" s="34"/>
      <c r="F25" s="34"/>
      <c r="G25" s="34"/>
      <c r="H25" s="34"/>
    </row>
    <row r="26" spans="1:8" x14ac:dyDescent="0.25">
      <c r="A26" s="34"/>
      <c r="B26" s="34"/>
      <c r="C26" s="34"/>
      <c r="D26" s="34"/>
      <c r="E26" s="34"/>
      <c r="F26" s="34"/>
      <c r="G26" s="34"/>
      <c r="H26" s="34"/>
    </row>
    <row r="27" spans="1:8" x14ac:dyDescent="0.25">
      <c r="A27" s="35" t="s">
        <v>1690</v>
      </c>
      <c r="B27" s="35"/>
      <c r="C27" s="35"/>
      <c r="D27" s="35"/>
      <c r="E27" s="35"/>
      <c r="F27" s="35"/>
      <c r="G27" s="35"/>
      <c r="H27" s="35"/>
    </row>
    <row r="28" spans="1:8" ht="24" customHeight="1" x14ac:dyDescent="0.25">
      <c r="A28" s="46" t="s">
        <v>1691</v>
      </c>
      <c r="B28" s="46"/>
      <c r="C28" s="46"/>
      <c r="D28" s="46"/>
      <c r="E28" s="46"/>
      <c r="F28" s="46"/>
      <c r="G28" s="46"/>
      <c r="H28" s="46"/>
    </row>
    <row r="29" spans="1:8" ht="24" customHeight="1" x14ac:dyDescent="0.25">
      <c r="A29" s="46"/>
      <c r="B29" s="46"/>
      <c r="C29" s="46"/>
      <c r="D29" s="46"/>
      <c r="E29" s="46"/>
      <c r="F29" s="46"/>
      <c r="G29" s="46"/>
      <c r="H29" s="46"/>
    </row>
    <row r="30" spans="1:8" ht="24" customHeight="1" x14ac:dyDescent="0.25">
      <c r="A30" s="46"/>
      <c r="B30" s="46"/>
      <c r="C30" s="46"/>
      <c r="D30" s="46"/>
      <c r="E30" s="46"/>
      <c r="F30" s="46"/>
      <c r="G30" s="46"/>
      <c r="H30" s="46"/>
    </row>
  </sheetData>
  <mergeCells count="12">
    <mergeCell ref="A7:H7"/>
    <mergeCell ref="A8:H9"/>
    <mergeCell ref="A11:H11"/>
    <mergeCell ref="A21:H21"/>
    <mergeCell ref="A27:H27"/>
    <mergeCell ref="A28:H30"/>
    <mergeCell ref="A1:H1"/>
    <mergeCell ref="A2:H2"/>
    <mergeCell ref="A4:B4"/>
    <mergeCell ref="C4:D4"/>
    <mergeCell ref="E4:F4"/>
    <mergeCell ref="G4:H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917D5-9BA1-47EF-9D3F-B1940D23B194}">
  <dimension ref="A1:J32"/>
  <sheetViews>
    <sheetView workbookViewId="0">
      <selection activeCell="D29" sqref="D29"/>
    </sheetView>
  </sheetViews>
  <sheetFormatPr defaultRowHeight="15" x14ac:dyDescent="0.25"/>
  <cols>
    <col min="1" max="1" width="10" customWidth="1"/>
    <col min="2" max="2" width="20" customWidth="1"/>
    <col min="3" max="3" width="10" customWidth="1"/>
    <col min="4" max="4" width="21" customWidth="1"/>
    <col min="5" max="5" width="46" customWidth="1"/>
    <col min="6" max="6" width="24" customWidth="1"/>
    <col min="7" max="7" width="9" customWidth="1"/>
    <col min="8" max="8" width="22" customWidth="1"/>
    <col min="9" max="9" width="44" customWidth="1"/>
    <col min="10" max="10" width="16" customWidth="1"/>
  </cols>
  <sheetData>
    <row r="1" spans="1:10" ht="21" x14ac:dyDescent="0.25">
      <c r="A1" s="47" t="s">
        <v>1692</v>
      </c>
      <c r="B1" s="47"/>
      <c r="C1" s="47"/>
      <c r="D1" s="47"/>
      <c r="E1" s="47"/>
      <c r="F1" s="47"/>
      <c r="G1" s="47"/>
      <c r="H1" s="47"/>
      <c r="I1" s="47"/>
      <c r="J1" s="47"/>
    </row>
    <row r="2" spans="1:10" x14ac:dyDescent="0.25">
      <c r="A2" s="33" t="s">
        <v>1693</v>
      </c>
      <c r="B2" s="33"/>
      <c r="C2" s="33"/>
      <c r="D2" s="33"/>
      <c r="E2" s="33"/>
      <c r="F2" s="33"/>
      <c r="G2" s="33"/>
      <c r="H2" s="33"/>
      <c r="I2" s="33"/>
      <c r="J2" s="33"/>
    </row>
    <row r="3" spans="1:10" x14ac:dyDescent="0.25">
      <c r="A3" s="34"/>
      <c r="B3" s="34"/>
      <c r="C3" s="34"/>
      <c r="D3" s="34"/>
      <c r="E3" s="34"/>
      <c r="F3" s="34"/>
      <c r="G3" s="34"/>
      <c r="H3" s="34"/>
      <c r="I3" s="34"/>
      <c r="J3" s="34"/>
    </row>
    <row r="4" spans="1:10" x14ac:dyDescent="0.25">
      <c r="A4" s="43" t="s">
        <v>531</v>
      </c>
      <c r="B4" s="43" t="s">
        <v>919</v>
      </c>
      <c r="C4" s="43" t="s">
        <v>1694</v>
      </c>
      <c r="D4" s="43" t="s">
        <v>1695</v>
      </c>
      <c r="E4" s="43" t="s">
        <v>1696</v>
      </c>
      <c r="F4" s="43" t="s">
        <v>1697</v>
      </c>
      <c r="G4" s="43" t="s">
        <v>1698</v>
      </c>
      <c r="H4" s="43" t="s">
        <v>1699</v>
      </c>
      <c r="I4" s="43" t="s">
        <v>1700</v>
      </c>
      <c r="J4" s="43" t="s">
        <v>89</v>
      </c>
    </row>
    <row r="5" spans="1:10" ht="25.5" x14ac:dyDescent="0.25">
      <c r="A5" s="44" t="s">
        <v>762</v>
      </c>
      <c r="B5" s="44" t="s">
        <v>1323</v>
      </c>
      <c r="C5" s="44" t="s">
        <v>1324</v>
      </c>
      <c r="D5" s="44" t="s">
        <v>175</v>
      </c>
      <c r="E5" s="44" t="s">
        <v>1701</v>
      </c>
      <c r="F5" s="44" t="s">
        <v>1325</v>
      </c>
      <c r="G5" s="44" t="s">
        <v>1702</v>
      </c>
      <c r="H5" s="44" t="s">
        <v>1703</v>
      </c>
      <c r="I5" s="44" t="s">
        <v>1704</v>
      </c>
      <c r="J5" s="44" t="s">
        <v>767</v>
      </c>
    </row>
    <row r="6" spans="1:10" ht="25.5" x14ac:dyDescent="0.25">
      <c r="A6" s="44" t="s">
        <v>769</v>
      </c>
      <c r="B6" s="44" t="s">
        <v>1323</v>
      </c>
      <c r="C6" s="44" t="s">
        <v>1324</v>
      </c>
      <c r="D6" s="44" t="s">
        <v>478</v>
      </c>
      <c r="E6" s="44" t="s">
        <v>1705</v>
      </c>
      <c r="F6" s="44" t="s">
        <v>1329</v>
      </c>
      <c r="G6" s="44" t="s">
        <v>1702</v>
      </c>
      <c r="H6" s="44" t="s">
        <v>1706</v>
      </c>
      <c r="I6" s="44" t="s">
        <v>1707</v>
      </c>
      <c r="J6" s="44" t="s">
        <v>767</v>
      </c>
    </row>
    <row r="7" spans="1:10" x14ac:dyDescent="0.25">
      <c r="A7" s="44" t="s">
        <v>773</v>
      </c>
      <c r="B7" s="44" t="s">
        <v>1323</v>
      </c>
      <c r="C7" s="44" t="s">
        <v>1324</v>
      </c>
      <c r="D7" s="44" t="s">
        <v>175</v>
      </c>
      <c r="E7" s="44" t="s">
        <v>1708</v>
      </c>
      <c r="F7" s="44" t="s">
        <v>175</v>
      </c>
      <c r="G7" s="44" t="s">
        <v>1702</v>
      </c>
      <c r="H7" s="44" t="s">
        <v>1709</v>
      </c>
      <c r="I7" s="44" t="s">
        <v>1710</v>
      </c>
      <c r="J7" s="44" t="s">
        <v>767</v>
      </c>
    </row>
    <row r="8" spans="1:10" ht="25.5" x14ac:dyDescent="0.25">
      <c r="A8" s="44" t="s">
        <v>778</v>
      </c>
      <c r="B8" s="44" t="s">
        <v>1323</v>
      </c>
      <c r="C8" s="44" t="s">
        <v>1324</v>
      </c>
      <c r="D8" s="44" t="s">
        <v>1711</v>
      </c>
      <c r="E8" s="44" t="s">
        <v>1712</v>
      </c>
      <c r="F8" s="44" t="s">
        <v>1334</v>
      </c>
      <c r="G8" s="44" t="s">
        <v>1713</v>
      </c>
      <c r="H8" s="44" t="s">
        <v>1714</v>
      </c>
      <c r="I8" s="44" t="s">
        <v>1715</v>
      </c>
      <c r="J8" s="44" t="s">
        <v>767</v>
      </c>
    </row>
    <row r="9" spans="1:10" ht="25.5" x14ac:dyDescent="0.25">
      <c r="A9" s="44" t="s">
        <v>784</v>
      </c>
      <c r="B9" s="44" t="s">
        <v>1323</v>
      </c>
      <c r="C9" s="44" t="s">
        <v>1324</v>
      </c>
      <c r="D9" s="44" t="s">
        <v>785</v>
      </c>
      <c r="E9" s="44" t="s">
        <v>1716</v>
      </c>
      <c r="F9" s="44" t="s">
        <v>1334</v>
      </c>
      <c r="G9" s="44" t="s">
        <v>1717</v>
      </c>
      <c r="H9" s="44" t="s">
        <v>1718</v>
      </c>
      <c r="I9" s="44" t="s">
        <v>1719</v>
      </c>
      <c r="J9" s="44" t="s">
        <v>767</v>
      </c>
    </row>
    <row r="10" spans="1:10" ht="25.5" x14ac:dyDescent="0.25">
      <c r="A10" s="44" t="s">
        <v>789</v>
      </c>
      <c r="B10" s="44" t="s">
        <v>1323</v>
      </c>
      <c r="C10" s="44" t="s">
        <v>1324</v>
      </c>
      <c r="D10" s="44" t="s">
        <v>790</v>
      </c>
      <c r="E10" s="44" t="s">
        <v>1720</v>
      </c>
      <c r="F10" s="44" t="s">
        <v>1341</v>
      </c>
      <c r="G10" s="44" t="s">
        <v>1717</v>
      </c>
      <c r="H10" s="44" t="s">
        <v>1721</v>
      </c>
      <c r="I10" s="44" t="s">
        <v>1722</v>
      </c>
      <c r="J10" s="44" t="s">
        <v>767</v>
      </c>
    </row>
    <row r="11" spans="1:10" x14ac:dyDescent="0.25">
      <c r="A11" s="44" t="s">
        <v>810</v>
      </c>
      <c r="B11" s="44" t="s">
        <v>1323</v>
      </c>
      <c r="C11" s="44" t="s">
        <v>1324</v>
      </c>
      <c r="D11" s="44" t="s">
        <v>1723</v>
      </c>
      <c r="E11" s="44" t="s">
        <v>1724</v>
      </c>
      <c r="F11" s="44" t="s">
        <v>1334</v>
      </c>
      <c r="G11" s="44" t="s">
        <v>1713</v>
      </c>
      <c r="H11" s="44" t="s">
        <v>1725</v>
      </c>
      <c r="I11" s="44" t="s">
        <v>1726</v>
      </c>
      <c r="J11" s="44" t="s">
        <v>767</v>
      </c>
    </row>
    <row r="12" spans="1:10" ht="25.5" x14ac:dyDescent="0.25">
      <c r="A12" s="44" t="s">
        <v>814</v>
      </c>
      <c r="B12" s="44" t="s">
        <v>1323</v>
      </c>
      <c r="C12" s="44" t="s">
        <v>1324</v>
      </c>
      <c r="D12" s="44" t="s">
        <v>456</v>
      </c>
      <c r="E12" s="44" t="s">
        <v>1727</v>
      </c>
      <c r="F12" s="44" t="s">
        <v>1360</v>
      </c>
      <c r="G12" s="44" t="s">
        <v>1713</v>
      </c>
      <c r="H12" s="44" t="s">
        <v>1728</v>
      </c>
      <c r="I12" s="44" t="s">
        <v>1729</v>
      </c>
      <c r="J12" s="44" t="s">
        <v>767</v>
      </c>
    </row>
    <row r="13" spans="1:10" ht="25.5" x14ac:dyDescent="0.25">
      <c r="A13" s="44" t="s">
        <v>803</v>
      </c>
      <c r="B13" s="44" t="s">
        <v>1353</v>
      </c>
      <c r="C13" s="44" t="s">
        <v>1354</v>
      </c>
      <c r="D13" s="44" t="s">
        <v>1730</v>
      </c>
      <c r="E13" s="44" t="s">
        <v>1731</v>
      </c>
      <c r="F13" s="44" t="s">
        <v>1334</v>
      </c>
      <c r="G13" s="44" t="s">
        <v>1732</v>
      </c>
      <c r="H13" s="44" t="s">
        <v>1733</v>
      </c>
      <c r="I13" s="44" t="s">
        <v>1734</v>
      </c>
      <c r="J13" s="44" t="s">
        <v>767</v>
      </c>
    </row>
    <row r="14" spans="1:10" ht="25.5" x14ac:dyDescent="0.25">
      <c r="A14" s="44" t="s">
        <v>819</v>
      </c>
      <c r="B14" s="44" t="s">
        <v>1353</v>
      </c>
      <c r="C14" s="44" t="s">
        <v>1354</v>
      </c>
      <c r="D14" s="44" t="s">
        <v>1735</v>
      </c>
      <c r="E14" s="44" t="s">
        <v>1736</v>
      </c>
      <c r="F14" s="44" t="s">
        <v>1334</v>
      </c>
      <c r="G14" s="44" t="s">
        <v>1732</v>
      </c>
      <c r="H14" s="44" t="s">
        <v>1737</v>
      </c>
      <c r="I14" s="44" t="s">
        <v>1738</v>
      </c>
      <c r="J14" s="44" t="s">
        <v>767</v>
      </c>
    </row>
    <row r="15" spans="1:10" ht="25.5" x14ac:dyDescent="0.25">
      <c r="A15" s="44" t="s">
        <v>844</v>
      </c>
      <c r="B15" s="44" t="s">
        <v>1353</v>
      </c>
      <c r="C15" s="44" t="s">
        <v>1354</v>
      </c>
      <c r="D15" s="44" t="s">
        <v>1739</v>
      </c>
      <c r="E15" s="44" t="s">
        <v>1740</v>
      </c>
      <c r="F15" s="44" t="s">
        <v>1334</v>
      </c>
      <c r="G15" s="44" t="s">
        <v>1732</v>
      </c>
      <c r="H15" s="44" t="s">
        <v>1741</v>
      </c>
      <c r="I15" s="44" t="s">
        <v>1742</v>
      </c>
      <c r="J15" s="44" t="s">
        <v>767</v>
      </c>
    </row>
    <row r="16" spans="1:10" ht="25.5" x14ac:dyDescent="0.25">
      <c r="A16" s="44" t="s">
        <v>1382</v>
      </c>
      <c r="B16" s="44" t="s">
        <v>1353</v>
      </c>
      <c r="C16" s="44" t="s">
        <v>1354</v>
      </c>
      <c r="D16" s="44" t="s">
        <v>1743</v>
      </c>
      <c r="E16" s="44" t="s">
        <v>1744</v>
      </c>
      <c r="F16" s="44" t="s">
        <v>1386</v>
      </c>
      <c r="G16" s="44" t="s">
        <v>1717</v>
      </c>
      <c r="H16" s="44" t="s">
        <v>1745</v>
      </c>
      <c r="I16" s="44" t="s">
        <v>1746</v>
      </c>
      <c r="J16" s="44" t="s">
        <v>767</v>
      </c>
    </row>
    <row r="17" spans="1:10" ht="25.5" x14ac:dyDescent="0.25">
      <c r="A17" s="44" t="s">
        <v>1389</v>
      </c>
      <c r="B17" s="44" t="s">
        <v>1353</v>
      </c>
      <c r="C17" s="44" t="s">
        <v>1354</v>
      </c>
      <c r="D17" s="44" t="s">
        <v>1747</v>
      </c>
      <c r="E17" s="44" t="s">
        <v>1748</v>
      </c>
      <c r="F17" s="44" t="s">
        <v>1334</v>
      </c>
      <c r="G17" s="44" t="s">
        <v>1713</v>
      </c>
      <c r="H17" s="44" t="s">
        <v>1749</v>
      </c>
      <c r="I17" s="44" t="s">
        <v>1750</v>
      </c>
      <c r="J17" s="44" t="s">
        <v>767</v>
      </c>
    </row>
    <row r="18" spans="1:10" ht="25.5" x14ac:dyDescent="0.25">
      <c r="A18" s="44" t="s">
        <v>1402</v>
      </c>
      <c r="B18" s="44" t="s">
        <v>1353</v>
      </c>
      <c r="C18" s="44" t="s">
        <v>1354</v>
      </c>
      <c r="D18" s="44" t="s">
        <v>1571</v>
      </c>
      <c r="E18" s="44" t="s">
        <v>1751</v>
      </c>
      <c r="F18" s="44" t="s">
        <v>1379</v>
      </c>
      <c r="G18" s="44" t="s">
        <v>1732</v>
      </c>
      <c r="H18" s="44" t="s">
        <v>1752</v>
      </c>
      <c r="I18" s="44" t="s">
        <v>1753</v>
      </c>
      <c r="J18" s="44" t="s">
        <v>767</v>
      </c>
    </row>
    <row r="19" spans="1:10" ht="25.5" x14ac:dyDescent="0.25">
      <c r="A19" s="44" t="s">
        <v>1408</v>
      </c>
      <c r="B19" s="44" t="s">
        <v>1353</v>
      </c>
      <c r="C19" s="44" t="s">
        <v>1354</v>
      </c>
      <c r="D19" s="44" t="s">
        <v>1578</v>
      </c>
      <c r="E19" s="44" t="s">
        <v>1754</v>
      </c>
      <c r="F19" s="44" t="s">
        <v>1379</v>
      </c>
      <c r="G19" s="44" t="s">
        <v>1732</v>
      </c>
      <c r="H19" s="44" t="s">
        <v>1755</v>
      </c>
      <c r="I19" s="44" t="s">
        <v>1756</v>
      </c>
      <c r="J19" s="44" t="s">
        <v>767</v>
      </c>
    </row>
    <row r="20" spans="1:10" ht="25.5" x14ac:dyDescent="0.25">
      <c r="A20" s="44" t="s">
        <v>1421</v>
      </c>
      <c r="B20" s="44" t="s">
        <v>1353</v>
      </c>
      <c r="C20" s="44" t="s">
        <v>1354</v>
      </c>
      <c r="D20" s="44" t="s">
        <v>401</v>
      </c>
      <c r="E20" s="44" t="s">
        <v>1757</v>
      </c>
      <c r="F20" s="44" t="s">
        <v>1425</v>
      </c>
      <c r="G20" s="44" t="s">
        <v>1732</v>
      </c>
      <c r="H20" s="44" t="s">
        <v>1758</v>
      </c>
      <c r="I20" s="44" t="s">
        <v>1759</v>
      </c>
      <c r="J20" s="44" t="s">
        <v>767</v>
      </c>
    </row>
    <row r="21" spans="1:10" ht="25.5" x14ac:dyDescent="0.25">
      <c r="A21" s="44" t="s">
        <v>1428</v>
      </c>
      <c r="B21" s="44" t="s">
        <v>1353</v>
      </c>
      <c r="C21" s="44" t="s">
        <v>1354</v>
      </c>
      <c r="D21" s="44" t="s">
        <v>1429</v>
      </c>
      <c r="E21" s="44" t="s">
        <v>1760</v>
      </c>
      <c r="F21" s="44" t="s">
        <v>1433</v>
      </c>
      <c r="G21" s="44" t="s">
        <v>1732</v>
      </c>
      <c r="H21" s="44" t="s">
        <v>1761</v>
      </c>
      <c r="I21" s="44" t="s">
        <v>1762</v>
      </c>
      <c r="J21" s="44" t="s">
        <v>767</v>
      </c>
    </row>
    <row r="22" spans="1:10" ht="25.5" x14ac:dyDescent="0.25">
      <c r="A22" s="44" t="s">
        <v>794</v>
      </c>
      <c r="B22" s="44" t="s">
        <v>1344</v>
      </c>
      <c r="C22" s="44" t="s">
        <v>1345</v>
      </c>
      <c r="D22" s="44" t="s">
        <v>1763</v>
      </c>
      <c r="E22" s="44" t="s">
        <v>1764</v>
      </c>
      <c r="F22" s="44" t="s">
        <v>1346</v>
      </c>
      <c r="G22" s="44" t="s">
        <v>1765</v>
      </c>
      <c r="H22" s="44" t="s">
        <v>1766</v>
      </c>
      <c r="I22" s="44" t="s">
        <v>1767</v>
      </c>
      <c r="J22" s="44" t="s">
        <v>767</v>
      </c>
    </row>
    <row r="23" spans="1:10" ht="25.5" x14ac:dyDescent="0.25">
      <c r="A23" s="44" t="s">
        <v>799</v>
      </c>
      <c r="B23" s="44" t="s">
        <v>1344</v>
      </c>
      <c r="C23" s="44" t="s">
        <v>1345</v>
      </c>
      <c r="D23" s="44" t="s">
        <v>1768</v>
      </c>
      <c r="E23" s="44" t="s">
        <v>1769</v>
      </c>
      <c r="F23" s="44" t="s">
        <v>1350</v>
      </c>
      <c r="G23" s="44" t="s">
        <v>1765</v>
      </c>
      <c r="H23" s="44" t="s">
        <v>1770</v>
      </c>
      <c r="I23" s="44" t="s">
        <v>1771</v>
      </c>
      <c r="J23" s="44" t="s">
        <v>767</v>
      </c>
    </row>
    <row r="24" spans="1:10" ht="25.5" x14ac:dyDescent="0.25">
      <c r="A24" s="44" t="s">
        <v>823</v>
      </c>
      <c r="B24" s="44" t="s">
        <v>1344</v>
      </c>
      <c r="C24" s="44" t="s">
        <v>1345</v>
      </c>
      <c r="D24" s="44" t="s">
        <v>376</v>
      </c>
      <c r="E24" s="44" t="s">
        <v>1772</v>
      </c>
      <c r="F24" s="44" t="s">
        <v>1346</v>
      </c>
      <c r="G24" s="44" t="s">
        <v>1765</v>
      </c>
      <c r="H24" s="44" t="s">
        <v>1773</v>
      </c>
      <c r="I24" s="44" t="s">
        <v>1774</v>
      </c>
      <c r="J24" s="44" t="s">
        <v>767</v>
      </c>
    </row>
    <row r="25" spans="1:10" ht="25.5" x14ac:dyDescent="0.25">
      <c r="A25" s="44" t="s">
        <v>827</v>
      </c>
      <c r="B25" s="44" t="s">
        <v>1344</v>
      </c>
      <c r="C25" s="44" t="s">
        <v>1345</v>
      </c>
      <c r="D25" s="44" t="s">
        <v>368</v>
      </c>
      <c r="E25" s="44" t="s">
        <v>1775</v>
      </c>
      <c r="F25" s="44" t="s">
        <v>1346</v>
      </c>
      <c r="G25" s="44" t="s">
        <v>1765</v>
      </c>
      <c r="H25" s="44" t="s">
        <v>1773</v>
      </c>
      <c r="I25" s="44" t="s">
        <v>1776</v>
      </c>
      <c r="J25" s="44" t="s">
        <v>767</v>
      </c>
    </row>
    <row r="26" spans="1:10" ht="25.5" x14ac:dyDescent="0.25">
      <c r="A26" s="44" t="s">
        <v>840</v>
      </c>
      <c r="B26" s="44" t="s">
        <v>1344</v>
      </c>
      <c r="C26" s="44" t="s">
        <v>1345</v>
      </c>
      <c r="D26" s="44" t="s">
        <v>1777</v>
      </c>
      <c r="E26" s="44" t="s">
        <v>1778</v>
      </c>
      <c r="F26" s="44" t="s">
        <v>1350</v>
      </c>
      <c r="G26" s="44" t="s">
        <v>1765</v>
      </c>
      <c r="H26" s="44" t="s">
        <v>1779</v>
      </c>
      <c r="I26" s="44" t="s">
        <v>1780</v>
      </c>
      <c r="J26" s="44" t="s">
        <v>767</v>
      </c>
    </row>
    <row r="27" spans="1:10" ht="25.5" x14ac:dyDescent="0.25">
      <c r="A27" s="44" t="s">
        <v>831</v>
      </c>
      <c r="B27" s="44" t="s">
        <v>1369</v>
      </c>
      <c r="C27" s="44" t="s">
        <v>1370</v>
      </c>
      <c r="D27" s="44" t="s">
        <v>1781</v>
      </c>
      <c r="E27" s="44" t="s">
        <v>1782</v>
      </c>
      <c r="F27" s="44" t="s">
        <v>1371</v>
      </c>
      <c r="G27" s="44" t="s">
        <v>1765</v>
      </c>
      <c r="H27" s="44" t="s">
        <v>762</v>
      </c>
      <c r="I27" s="44" t="s">
        <v>1783</v>
      </c>
      <c r="J27" s="44" t="s">
        <v>767</v>
      </c>
    </row>
    <row r="28" spans="1:10" ht="25.5" x14ac:dyDescent="0.25">
      <c r="A28" s="44" t="s">
        <v>836</v>
      </c>
      <c r="B28" s="44" t="s">
        <v>1369</v>
      </c>
      <c r="C28" s="44" t="s">
        <v>1370</v>
      </c>
      <c r="D28" s="44" t="s">
        <v>1784</v>
      </c>
      <c r="E28" s="44" t="s">
        <v>1785</v>
      </c>
      <c r="F28" s="44" t="s">
        <v>1374</v>
      </c>
      <c r="G28" s="44" t="s">
        <v>1765</v>
      </c>
      <c r="H28" s="44" t="s">
        <v>1786</v>
      </c>
      <c r="I28" s="44" t="s">
        <v>1787</v>
      </c>
      <c r="J28" s="44" t="s">
        <v>767</v>
      </c>
    </row>
    <row r="29" spans="1:10" x14ac:dyDescent="0.25">
      <c r="A29" s="44" t="s">
        <v>1395</v>
      </c>
      <c r="B29" s="44" t="s">
        <v>1369</v>
      </c>
      <c r="C29" s="44" t="s">
        <v>1354</v>
      </c>
      <c r="D29" s="44" t="s">
        <v>1564</v>
      </c>
      <c r="E29" s="44" t="s">
        <v>1788</v>
      </c>
      <c r="F29" s="44" t="s">
        <v>1399</v>
      </c>
      <c r="G29" s="44" t="s">
        <v>1732</v>
      </c>
      <c r="H29" s="44" t="s">
        <v>784</v>
      </c>
      <c r="I29" s="44" t="s">
        <v>1789</v>
      </c>
      <c r="J29" s="44" t="s">
        <v>767</v>
      </c>
    </row>
    <row r="30" spans="1:10" ht="25.5" x14ac:dyDescent="0.25">
      <c r="A30" s="44" t="s">
        <v>1414</v>
      </c>
      <c r="B30" s="44" t="s">
        <v>1369</v>
      </c>
      <c r="C30" s="44" t="s">
        <v>1354</v>
      </c>
      <c r="D30" s="44" t="s">
        <v>1415</v>
      </c>
      <c r="E30" s="44" t="s">
        <v>1790</v>
      </c>
      <c r="F30" s="44" t="s">
        <v>1346</v>
      </c>
      <c r="G30" s="44" t="s">
        <v>1765</v>
      </c>
      <c r="H30" s="44" t="s">
        <v>1791</v>
      </c>
      <c r="I30" s="44" t="s">
        <v>1792</v>
      </c>
      <c r="J30" s="44" t="s">
        <v>767</v>
      </c>
    </row>
    <row r="31" spans="1:10" ht="25.5" x14ac:dyDescent="0.25">
      <c r="A31" s="44" t="s">
        <v>1436</v>
      </c>
      <c r="B31" s="44" t="s">
        <v>1369</v>
      </c>
      <c r="C31" s="44" t="s">
        <v>1354</v>
      </c>
      <c r="D31" s="44" t="s">
        <v>1437</v>
      </c>
      <c r="E31" s="44" t="s">
        <v>1793</v>
      </c>
      <c r="F31" s="44" t="s">
        <v>1441</v>
      </c>
      <c r="G31" s="44" t="s">
        <v>1732</v>
      </c>
      <c r="H31" s="44" t="s">
        <v>1794</v>
      </c>
      <c r="I31" s="44" t="s">
        <v>1795</v>
      </c>
      <c r="J31" s="44" t="s">
        <v>767</v>
      </c>
    </row>
    <row r="32" spans="1:10" ht="25.5" x14ac:dyDescent="0.25">
      <c r="A32" s="45" t="s">
        <v>1444</v>
      </c>
      <c r="B32" s="45" t="s">
        <v>1369</v>
      </c>
      <c r="C32" s="45" t="s">
        <v>1354</v>
      </c>
      <c r="D32" s="45" t="s">
        <v>1445</v>
      </c>
      <c r="E32" s="45" t="s">
        <v>1796</v>
      </c>
      <c r="F32" s="45" t="s">
        <v>1399</v>
      </c>
      <c r="G32" s="45" t="s">
        <v>1732</v>
      </c>
      <c r="H32" s="45" t="s">
        <v>1797</v>
      </c>
      <c r="I32" s="45" t="s">
        <v>1798</v>
      </c>
      <c r="J32" s="45" t="s">
        <v>767</v>
      </c>
    </row>
  </sheetData>
  <mergeCells count="2">
    <mergeCell ref="A1:J1"/>
    <mergeCell ref="A2:J2"/>
  </mergeCells>
  <conditionalFormatting sqref="J5:J32">
    <cfRule type="containsText" dxfId="3" priority="1" operator="containsText" text="Closed"/>
    <cfRule type="containsText" dxfId="2" priority="2" operator="containsText" text="Blocked"/>
  </conditionalFormatting>
  <dataValidations count="1">
    <dataValidation type="list" sqref="J5:J32" xr:uid="{A510F0E5-3138-4F15-BDA1-17E873F6A3E1}">
      <formula1>"Open,In Progress,Blocked,Ready for Review,Closed"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5921D-03B5-48F4-9EE4-FBAA56E75504}">
  <dimension ref="A1:G12"/>
  <sheetViews>
    <sheetView workbookViewId="0">
      <selection activeCell="C28" sqref="C28"/>
    </sheetView>
  </sheetViews>
  <sheetFormatPr defaultRowHeight="15" x14ac:dyDescent="0.25"/>
  <cols>
    <col min="1" max="1" width="22" customWidth="1"/>
    <col min="2" max="2" width="29" customWidth="1"/>
    <col min="3" max="3" width="40" customWidth="1"/>
    <col min="4" max="4" width="26" customWidth="1"/>
    <col min="5" max="5" width="43" customWidth="1"/>
    <col min="6" max="6" width="34" customWidth="1"/>
    <col min="7" max="7" width="14" customWidth="1"/>
  </cols>
  <sheetData>
    <row r="1" spans="1:7" ht="21" x14ac:dyDescent="0.25">
      <c r="A1" s="47" t="s">
        <v>1799</v>
      </c>
      <c r="B1" s="47"/>
      <c r="C1" s="47"/>
      <c r="D1" s="47"/>
      <c r="E1" s="47"/>
      <c r="F1" s="47"/>
      <c r="G1" s="47"/>
    </row>
    <row r="2" spans="1:7" x14ac:dyDescent="0.25">
      <c r="A2" s="34"/>
      <c r="B2" s="34"/>
      <c r="C2" s="34"/>
      <c r="D2" s="34"/>
      <c r="E2" s="34"/>
      <c r="F2" s="34"/>
      <c r="G2" s="34"/>
    </row>
    <row r="3" spans="1:7" x14ac:dyDescent="0.25">
      <c r="A3" s="43" t="s">
        <v>1698</v>
      </c>
      <c r="B3" s="43" t="s">
        <v>1634</v>
      </c>
      <c r="C3" s="43" t="s">
        <v>1800</v>
      </c>
      <c r="D3" s="43" t="s">
        <v>1801</v>
      </c>
      <c r="E3" s="43" t="s">
        <v>1802</v>
      </c>
      <c r="F3" s="43" t="s">
        <v>1803</v>
      </c>
      <c r="G3" s="43" t="s">
        <v>89</v>
      </c>
    </row>
    <row r="4" spans="1:7" ht="25.5" x14ac:dyDescent="0.25">
      <c r="A4" s="44" t="s">
        <v>1328</v>
      </c>
      <c r="B4" s="44" t="s">
        <v>1804</v>
      </c>
      <c r="C4" s="44" t="s">
        <v>1805</v>
      </c>
      <c r="D4" s="44" t="s">
        <v>1325</v>
      </c>
      <c r="E4" s="44" t="s">
        <v>1806</v>
      </c>
      <c r="F4" s="44" t="s">
        <v>1807</v>
      </c>
      <c r="G4" s="44" t="s">
        <v>767</v>
      </c>
    </row>
    <row r="5" spans="1:7" ht="25.5" x14ac:dyDescent="0.25">
      <c r="A5" s="44" t="s">
        <v>1337</v>
      </c>
      <c r="B5" s="44" t="s">
        <v>1808</v>
      </c>
      <c r="C5" s="44" t="s">
        <v>1809</v>
      </c>
      <c r="D5" s="44" t="s">
        <v>1386</v>
      </c>
      <c r="E5" s="44" t="s">
        <v>1810</v>
      </c>
      <c r="F5" s="44" t="s">
        <v>1811</v>
      </c>
      <c r="G5" s="44" t="s">
        <v>767</v>
      </c>
    </row>
    <row r="6" spans="1:7" ht="25.5" x14ac:dyDescent="0.25">
      <c r="A6" s="44" t="s">
        <v>1340</v>
      </c>
      <c r="B6" s="44" t="s">
        <v>1812</v>
      </c>
      <c r="C6" s="44" t="s">
        <v>1813</v>
      </c>
      <c r="D6" s="44" t="s">
        <v>1814</v>
      </c>
      <c r="E6" s="44" t="s">
        <v>1815</v>
      </c>
      <c r="F6" s="44" t="s">
        <v>1816</v>
      </c>
      <c r="G6" s="44" t="s">
        <v>767</v>
      </c>
    </row>
    <row r="7" spans="1:7" ht="25.5" x14ac:dyDescent="0.25">
      <c r="A7" s="44" t="s">
        <v>1357</v>
      </c>
      <c r="B7" s="44" t="s">
        <v>1817</v>
      </c>
      <c r="C7" s="44" t="s">
        <v>1818</v>
      </c>
      <c r="D7" s="44" t="s">
        <v>1379</v>
      </c>
      <c r="E7" s="44" t="s">
        <v>1819</v>
      </c>
      <c r="F7" s="44" t="s">
        <v>1820</v>
      </c>
      <c r="G7" s="44" t="s">
        <v>767</v>
      </c>
    </row>
    <row r="8" spans="1:7" ht="38.25" x14ac:dyDescent="0.25">
      <c r="A8" s="44" t="s">
        <v>1349</v>
      </c>
      <c r="B8" s="44" t="s">
        <v>1821</v>
      </c>
      <c r="C8" s="44" t="s">
        <v>1822</v>
      </c>
      <c r="D8" s="44" t="s">
        <v>1823</v>
      </c>
      <c r="E8" s="44" t="s">
        <v>1824</v>
      </c>
      <c r="F8" s="44" t="s">
        <v>1825</v>
      </c>
      <c r="G8" s="44" t="s">
        <v>767</v>
      </c>
    </row>
    <row r="9" spans="1:7" ht="25.5" x14ac:dyDescent="0.25">
      <c r="A9" s="45" t="s">
        <v>1826</v>
      </c>
      <c r="B9" s="45" t="s">
        <v>1827</v>
      </c>
      <c r="C9" s="45" t="s">
        <v>1828</v>
      </c>
      <c r="D9" s="45" t="s">
        <v>1829</v>
      </c>
      <c r="E9" s="45" t="s">
        <v>1830</v>
      </c>
      <c r="F9" s="45" t="s">
        <v>1831</v>
      </c>
      <c r="G9" s="45" t="s">
        <v>767</v>
      </c>
    </row>
    <row r="10" spans="1:7" x14ac:dyDescent="0.25">
      <c r="A10" s="34"/>
      <c r="B10" s="34"/>
      <c r="C10" s="34"/>
      <c r="D10" s="34"/>
      <c r="E10" s="34"/>
      <c r="F10" s="34"/>
      <c r="G10" s="34"/>
    </row>
    <row r="11" spans="1:7" x14ac:dyDescent="0.25">
      <c r="A11" s="34"/>
      <c r="B11" s="34"/>
      <c r="C11" s="34"/>
      <c r="D11" s="34"/>
      <c r="E11" s="34"/>
      <c r="F11" s="34"/>
      <c r="G11" s="34"/>
    </row>
    <row r="12" spans="1:7" ht="30.95" customHeight="1" x14ac:dyDescent="0.25">
      <c r="A12" s="48" t="s">
        <v>1832</v>
      </c>
      <c r="B12" s="49"/>
      <c r="C12" s="49"/>
      <c r="D12" s="49"/>
      <c r="E12" s="49"/>
      <c r="F12" s="49"/>
      <c r="G12" s="50"/>
    </row>
  </sheetData>
  <mergeCells count="2">
    <mergeCell ref="A1:G1"/>
    <mergeCell ref="A12:G12"/>
  </mergeCells>
  <conditionalFormatting sqref="G4:G9">
    <cfRule type="containsText" dxfId="1" priority="1" operator="containsText" text="Pass"/>
    <cfRule type="containsText" dxfId="0" priority="2" operator="containsText" text="Fail"/>
  </conditionalFormatting>
  <dataValidations count="1">
    <dataValidation type="list" sqref="G4:G9" xr:uid="{D3A2F0C9-185A-4CCB-B7C3-C8DC1B466891}">
      <formula1>"Open,Conditional,Pass,Fail"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AACB5-2716-41DD-BAF9-77F6C4CE1860}">
  <dimension ref="A1:A172"/>
  <sheetViews>
    <sheetView workbookViewId="0">
      <selection activeCell="E19" sqref="E19"/>
    </sheetView>
  </sheetViews>
  <sheetFormatPr defaultRowHeight="15" x14ac:dyDescent="0.25"/>
  <sheetData>
    <row r="1" spans="1:1" x14ac:dyDescent="0.25">
      <c r="A1" t="s">
        <v>1833</v>
      </c>
    </row>
    <row r="3" spans="1:1" x14ac:dyDescent="0.25">
      <c r="A3" t="s">
        <v>1834</v>
      </c>
    </row>
    <row r="5" spans="1:1" x14ac:dyDescent="0.25">
      <c r="A5" t="s">
        <v>1835</v>
      </c>
    </row>
    <row r="6" spans="1:1" x14ac:dyDescent="0.25">
      <c r="A6" t="s">
        <v>1836</v>
      </c>
    </row>
    <row r="7" spans="1:1" x14ac:dyDescent="0.25">
      <c r="A7" t="s">
        <v>1837</v>
      </c>
    </row>
    <row r="9" spans="1:1" x14ac:dyDescent="0.25">
      <c r="A9" t="s">
        <v>1838</v>
      </c>
    </row>
    <row r="11" spans="1:1" x14ac:dyDescent="0.25">
      <c r="A11" t="s">
        <v>1839</v>
      </c>
    </row>
    <row r="12" spans="1:1" x14ac:dyDescent="0.25">
      <c r="A12" t="s">
        <v>1840</v>
      </c>
    </row>
    <row r="13" spans="1:1" x14ac:dyDescent="0.25">
      <c r="A13" t="s">
        <v>1841</v>
      </c>
    </row>
    <row r="15" spans="1:1" x14ac:dyDescent="0.25">
      <c r="A15" t="s">
        <v>1842</v>
      </c>
    </row>
    <row r="17" spans="1:1" x14ac:dyDescent="0.25">
      <c r="A17" t="s">
        <v>1843</v>
      </c>
    </row>
    <row r="18" spans="1:1" x14ac:dyDescent="0.25">
      <c r="A18" t="s">
        <v>1844</v>
      </c>
    </row>
    <row r="19" spans="1:1" x14ac:dyDescent="0.25">
      <c r="A19" t="s">
        <v>1845</v>
      </c>
    </row>
    <row r="21" spans="1:1" x14ac:dyDescent="0.25">
      <c r="A21" t="s">
        <v>1846</v>
      </c>
    </row>
    <row r="22" spans="1:1" x14ac:dyDescent="0.25">
      <c r="A22" t="s">
        <v>1847</v>
      </c>
    </row>
    <row r="23" spans="1:1" x14ac:dyDescent="0.25">
      <c r="A23" t="s">
        <v>1848</v>
      </c>
    </row>
    <row r="24" spans="1:1" x14ac:dyDescent="0.25">
      <c r="A24" t="s">
        <v>1849</v>
      </c>
    </row>
    <row r="25" spans="1:1" x14ac:dyDescent="0.25">
      <c r="A25" t="s">
        <v>1850</v>
      </c>
    </row>
    <row r="26" spans="1:1" x14ac:dyDescent="0.25">
      <c r="A26" t="s">
        <v>1851</v>
      </c>
    </row>
    <row r="27" spans="1:1" x14ac:dyDescent="0.25">
      <c r="A27" t="s">
        <v>1852</v>
      </c>
    </row>
    <row r="28" spans="1:1" x14ac:dyDescent="0.25">
      <c r="A28" t="s">
        <v>1853</v>
      </c>
    </row>
    <row r="29" spans="1:1" x14ac:dyDescent="0.25">
      <c r="A29" t="s">
        <v>1854</v>
      </c>
    </row>
    <row r="31" spans="1:1" x14ac:dyDescent="0.25">
      <c r="A31" t="s">
        <v>1855</v>
      </c>
    </row>
    <row r="33" spans="1:1" x14ac:dyDescent="0.25">
      <c r="A33" t="s">
        <v>1856</v>
      </c>
    </row>
    <row r="34" spans="1:1" x14ac:dyDescent="0.25">
      <c r="A34" t="s">
        <v>1857</v>
      </c>
    </row>
    <row r="35" spans="1:1" x14ac:dyDescent="0.25">
      <c r="A35" t="s">
        <v>1858</v>
      </c>
    </row>
    <row r="36" spans="1:1" x14ac:dyDescent="0.25">
      <c r="A36" t="s">
        <v>1859</v>
      </c>
    </row>
    <row r="38" spans="1:1" x14ac:dyDescent="0.25">
      <c r="A38" t="s">
        <v>1860</v>
      </c>
    </row>
    <row r="40" spans="1:1" x14ac:dyDescent="0.25">
      <c r="A40" t="s">
        <v>1861</v>
      </c>
    </row>
    <row r="41" spans="1:1" x14ac:dyDescent="0.25">
      <c r="A41" t="s">
        <v>1857</v>
      </c>
    </row>
    <row r="42" spans="1:1" x14ac:dyDescent="0.25">
      <c r="A42" t="s">
        <v>1862</v>
      </c>
    </row>
    <row r="43" spans="1:1" x14ac:dyDescent="0.25">
      <c r="A43" t="s">
        <v>1863</v>
      </c>
    </row>
    <row r="44" spans="1:1" x14ac:dyDescent="0.25">
      <c r="A44" t="s">
        <v>1864</v>
      </c>
    </row>
    <row r="45" spans="1:1" x14ac:dyDescent="0.25">
      <c r="A45" t="s">
        <v>1865</v>
      </c>
    </row>
    <row r="47" spans="1:1" x14ac:dyDescent="0.25">
      <c r="A47" t="s">
        <v>1866</v>
      </c>
    </row>
    <row r="49" spans="1:1" x14ac:dyDescent="0.25">
      <c r="A49" t="s">
        <v>1867</v>
      </c>
    </row>
    <row r="50" spans="1:1" x14ac:dyDescent="0.25">
      <c r="A50" t="s">
        <v>1868</v>
      </c>
    </row>
    <row r="51" spans="1:1" x14ac:dyDescent="0.25">
      <c r="A51" t="s">
        <v>1869</v>
      </c>
    </row>
    <row r="53" spans="1:1" x14ac:dyDescent="0.25">
      <c r="A53" t="s">
        <v>1870</v>
      </c>
    </row>
    <row r="54" spans="1:1" x14ac:dyDescent="0.25">
      <c r="A54" t="s">
        <v>1857</v>
      </c>
    </row>
    <row r="55" spans="1:1" x14ac:dyDescent="0.25">
      <c r="A55" t="s">
        <v>1871</v>
      </c>
    </row>
    <row r="56" spans="1:1" x14ac:dyDescent="0.25">
      <c r="A56" t="s">
        <v>1872</v>
      </c>
    </row>
    <row r="57" spans="1:1" x14ac:dyDescent="0.25">
      <c r="A57" t="s">
        <v>1873</v>
      </c>
    </row>
    <row r="58" spans="1:1" x14ac:dyDescent="0.25">
      <c r="A58" t="s">
        <v>1874</v>
      </c>
    </row>
    <row r="59" spans="1:1" x14ac:dyDescent="0.25">
      <c r="A59" t="s">
        <v>1875</v>
      </c>
    </row>
    <row r="60" spans="1:1" x14ac:dyDescent="0.25">
      <c r="A60" t="s">
        <v>1876</v>
      </c>
    </row>
    <row r="61" spans="1:1" x14ac:dyDescent="0.25">
      <c r="A61" t="s">
        <v>1877</v>
      </c>
    </row>
    <row r="63" spans="1:1" x14ac:dyDescent="0.25">
      <c r="A63" t="s">
        <v>1878</v>
      </c>
    </row>
    <row r="65" spans="1:1" x14ac:dyDescent="0.25">
      <c r="A65" t="s">
        <v>1879</v>
      </c>
    </row>
    <row r="66" spans="1:1" x14ac:dyDescent="0.25">
      <c r="A66" t="s">
        <v>1880</v>
      </c>
    </row>
    <row r="68" spans="1:1" x14ac:dyDescent="0.25">
      <c r="A68" t="s">
        <v>1881</v>
      </c>
    </row>
    <row r="69" spans="1:1" x14ac:dyDescent="0.25">
      <c r="A69" t="s">
        <v>1882</v>
      </c>
    </row>
    <row r="70" spans="1:1" x14ac:dyDescent="0.25">
      <c r="A70" t="s">
        <v>1883</v>
      </c>
    </row>
    <row r="71" spans="1:1" x14ac:dyDescent="0.25">
      <c r="A71" t="s">
        <v>1884</v>
      </c>
    </row>
    <row r="72" spans="1:1" x14ac:dyDescent="0.25">
      <c r="A72" t="s">
        <v>1885</v>
      </c>
    </row>
    <row r="73" spans="1:1" x14ac:dyDescent="0.25">
      <c r="A73" t="s">
        <v>1886</v>
      </c>
    </row>
    <row r="74" spans="1:1" x14ac:dyDescent="0.25">
      <c r="A74" t="s">
        <v>1887</v>
      </c>
    </row>
    <row r="75" spans="1:1" x14ac:dyDescent="0.25">
      <c r="A75" t="s">
        <v>1888</v>
      </c>
    </row>
    <row r="76" spans="1:1" x14ac:dyDescent="0.25">
      <c r="A76" t="s">
        <v>1889</v>
      </c>
    </row>
    <row r="77" spans="1:1" x14ac:dyDescent="0.25">
      <c r="A77" t="s">
        <v>1890</v>
      </c>
    </row>
    <row r="78" spans="1:1" x14ac:dyDescent="0.25">
      <c r="A78" t="s">
        <v>1891</v>
      </c>
    </row>
    <row r="79" spans="1:1" x14ac:dyDescent="0.25">
      <c r="A79" t="s">
        <v>1892</v>
      </c>
    </row>
    <row r="80" spans="1:1" x14ac:dyDescent="0.25">
      <c r="A80" t="s">
        <v>1893</v>
      </c>
    </row>
    <row r="82" spans="1:1" x14ac:dyDescent="0.25">
      <c r="A82" t="s">
        <v>1894</v>
      </c>
    </row>
    <row r="84" spans="1:1" x14ac:dyDescent="0.25">
      <c r="A84" t="s">
        <v>1895</v>
      </c>
    </row>
    <row r="85" spans="1:1" x14ac:dyDescent="0.25">
      <c r="A85" t="e">
        <f>- A human may work for multiple firms, but must sign in as one verified</f>
        <v>#NAME?</v>
      </c>
    </row>
    <row r="86" spans="1:1" x14ac:dyDescent="0.25">
      <c r="A86" t="s">
        <v>1896</v>
      </c>
    </row>
    <row r="87" spans="1:1" x14ac:dyDescent="0.25">
      <c r="A87" t="e" cm="1">
        <f t="array" ref="A87">- firms receive no constitutional role. Named people receive minimal grants.</f>
        <v>#NAME?</v>
      </c>
    </row>
    <row r="88" spans="1:1" x14ac:dyDescent="0.25">
      <c r="A88" t="e" cm="1">
        <f t="array" ref="A88">- no grant is open-ended by default for external personnel. Every external</f>
        <v>#NAME?</v>
      </c>
    </row>
    <row r="89" spans="1:1" x14ac:dyDescent="0.25">
      <c r="A89" t="s">
        <v>1897</v>
      </c>
    </row>
    <row r="90" spans="1:1" x14ac:dyDescent="0.25">
      <c r="A90" t="e" cm="1">
        <f t="array" ref="A90">- Technical operational access is separate from constitutional authority. A</f>
        <v>#NAME?</v>
      </c>
    </row>
    <row r="91" spans="1:1" x14ac:dyDescent="0.25">
      <c r="A91" t="s">
        <v>1898</v>
      </c>
    </row>
    <row r="92" spans="1:1" x14ac:dyDescent="0.25">
      <c r="A92" t="s">
        <v>1899</v>
      </c>
    </row>
    <row r="93" spans="1:1" x14ac:dyDescent="0.25">
      <c r="A93" t="s">
        <v>1900</v>
      </c>
    </row>
    <row r="94" spans="1:1" x14ac:dyDescent="0.25">
      <c r="A94" t="e">
        <f>- The Board remains A quorum and A resolution, never an elevated login.</f>
        <v>#NAME?</v>
      </c>
    </row>
    <row r="95" spans="1:1" x14ac:dyDescent="0.25">
      <c r="A95" t="e" cm="1">
        <f t="array" ref="A95">- The existing separation-of-powers checks remain mandatory: no single grant</f>
        <v>#NAME?</v>
      </c>
    </row>
    <row r="96" spans="1:1" x14ac:dyDescent="0.25">
      <c r="A96" t="s">
        <v>1901</v>
      </c>
    </row>
    <row r="97" spans="1:1" x14ac:dyDescent="0.25">
      <c r="A97" t="s">
        <v>1902</v>
      </c>
    </row>
    <row r="99" spans="1:1" x14ac:dyDescent="0.25">
      <c r="A99" t="s">
        <v>1903</v>
      </c>
    </row>
    <row r="101" spans="1:1" x14ac:dyDescent="0.25">
      <c r="A101" t="s">
        <v>1904</v>
      </c>
    </row>
    <row r="103" spans="1:1" x14ac:dyDescent="0.25">
      <c r="A103" t="s">
        <v>1905</v>
      </c>
    </row>
    <row r="105" spans="1:1" x14ac:dyDescent="0.25">
      <c r="A105" t="s">
        <v>1906</v>
      </c>
    </row>
    <row r="106" spans="1:1" x14ac:dyDescent="0.25">
      <c r="A106" t="s">
        <v>1907</v>
      </c>
    </row>
    <row r="107" spans="1:1" x14ac:dyDescent="0.25">
      <c r="A107" t="s">
        <v>1908</v>
      </c>
    </row>
    <row r="108" spans="1:1" x14ac:dyDescent="0.25">
      <c r="A108" t="s">
        <v>1909</v>
      </c>
    </row>
    <row r="110" spans="1:1" x14ac:dyDescent="0.25">
      <c r="A110" t="s">
        <v>1910</v>
      </c>
    </row>
    <row r="112" spans="1:1" x14ac:dyDescent="0.25">
      <c r="A112" t="s">
        <v>1911</v>
      </c>
    </row>
    <row r="114" spans="1:1" x14ac:dyDescent="0.25">
      <c r="A114" t="s">
        <v>1912</v>
      </c>
    </row>
    <row r="116" spans="1:1" x14ac:dyDescent="0.25">
      <c r="A116" t="e" cm="1">
        <f t="array" ref="A116">- Tax, CS, and CA work flows to one Governance &amp; Financial Compliance partner</f>
        <v>#NAME?</v>
      </c>
    </row>
    <row r="117" spans="1:1" x14ac:dyDescent="0.25">
      <c r="A117" t="s">
        <v>1913</v>
      </c>
    </row>
    <row r="118" spans="1:1" x14ac:dyDescent="0.25">
      <c r="A118" t="s">
        <v>1914</v>
      </c>
    </row>
    <row r="119" spans="1:1" x14ac:dyDescent="0.25">
      <c r="A119" t="s">
        <v>1915</v>
      </c>
    </row>
    <row r="120" spans="1:1" x14ac:dyDescent="0.25">
      <c r="A120" t="s">
        <v>1916</v>
      </c>
    </row>
    <row r="121" spans="1:1" x14ac:dyDescent="0.25">
      <c r="A121" t="s">
        <v>1917</v>
      </c>
    </row>
    <row r="122" spans="1:1" x14ac:dyDescent="0.25">
      <c r="A122" t="s">
        <v>1918</v>
      </c>
    </row>
    <row r="124" spans="1:1" x14ac:dyDescent="0.25">
      <c r="A124" t="s">
        <v>1919</v>
      </c>
    </row>
    <row r="126" spans="1:1" x14ac:dyDescent="0.25">
      <c r="A126" t="s">
        <v>1920</v>
      </c>
    </row>
    <row r="128" spans="1:1" x14ac:dyDescent="0.25">
      <c r="A128" t="s">
        <v>1921</v>
      </c>
    </row>
    <row r="130" spans="1:1" x14ac:dyDescent="0.25">
      <c r="A130" t="e">
        <f>- by LLP: who can act, for which right, until when, and under which engagement.</f>
        <v>#NAME?</v>
      </c>
    </row>
    <row r="131" spans="1:1" x14ac:dyDescent="0.25">
      <c r="A131" t="e">
        <f>- by firm: Every Named person, scope, expiring grant, conflict, and open task.</f>
        <v>#NAME?</v>
      </c>
    </row>
    <row r="132" spans="1:1" x14ac:dyDescent="0.25">
      <c r="A132" t="e" cm="1">
        <f t="array" ref="A132">- by right: Every holder, unheld right, and separation-of-powers alert.</f>
        <v>#NAME?</v>
      </c>
    </row>
    <row r="133" spans="1:1" x14ac:dyDescent="0.25">
      <c r="A133" t="e">
        <f>- by exception: overdue review, expired engagement with live grant, revoked</f>
        <v>#NAME?</v>
      </c>
    </row>
    <row r="134" spans="1:1" x14ac:dyDescent="0.25">
      <c r="A134" t="s">
        <v>1922</v>
      </c>
    </row>
    <row r="135" spans="1:1" x14ac:dyDescent="0.25">
      <c r="A135" t="s">
        <v>1923</v>
      </c>
    </row>
    <row r="137" spans="1:1" x14ac:dyDescent="0.25">
      <c r="A137" t="s">
        <v>1924</v>
      </c>
    </row>
    <row r="139" spans="1:1" x14ac:dyDescent="0.25">
      <c r="A139" t="s">
        <v>1925</v>
      </c>
    </row>
    <row r="140" spans="1:1" x14ac:dyDescent="0.25">
      <c r="A140" t="s">
        <v>1926</v>
      </c>
    </row>
    <row r="141" spans="1:1" x14ac:dyDescent="0.25">
      <c r="A141" t="s">
        <v>1927</v>
      </c>
    </row>
    <row r="143" spans="1:1" x14ac:dyDescent="0.25">
      <c r="A143" t="s">
        <v>1928</v>
      </c>
    </row>
    <row r="144" spans="1:1" x14ac:dyDescent="0.25">
      <c r="A144" t="s">
        <v>1929</v>
      </c>
    </row>
    <row r="145" spans="1:1" x14ac:dyDescent="0.25">
      <c r="A145" t="e">
        <f>- legal interpretation, Tax conclusion, complaint, dispute, or regulatory</f>
        <v>#NAME?</v>
      </c>
    </row>
    <row r="146" spans="1:1" x14ac:dyDescent="0.25">
      <c r="A146" t="s">
        <v>1930</v>
      </c>
    </row>
    <row r="147" spans="1:1" x14ac:dyDescent="0.25">
      <c r="A147" t="s">
        <v>1931</v>
      </c>
    </row>
    <row r="148" spans="1:1" x14ac:dyDescent="0.25">
      <c r="A148" t="e">
        <f>- an unresolved reserve, debt, insurance, statutory, security, or continuity</f>
        <v>#NAME?</v>
      </c>
    </row>
    <row r="149" spans="1:1" x14ac:dyDescent="0.25">
      <c r="A149" t="s">
        <v>1932</v>
      </c>
    </row>
    <row r="151" spans="1:1" x14ac:dyDescent="0.25">
      <c r="A151" t="s">
        <v>1933</v>
      </c>
    </row>
    <row r="152" spans="1:1" x14ac:dyDescent="0.25">
      <c r="A152" t="s">
        <v>1934</v>
      </c>
    </row>
    <row r="153" spans="1:1" x14ac:dyDescent="0.25">
      <c r="A153" t="s">
        <v>1935</v>
      </c>
    </row>
    <row r="155" spans="1:1" x14ac:dyDescent="0.25">
      <c r="A155" t="s">
        <v>1936</v>
      </c>
    </row>
    <row r="157" spans="1:1" x14ac:dyDescent="0.25">
      <c r="A157" t="s">
        <v>1937</v>
      </c>
    </row>
    <row r="158" spans="1:1" x14ac:dyDescent="0.25">
      <c r="A158" t="s">
        <v>1938</v>
      </c>
    </row>
    <row r="159" spans="1:1" x14ac:dyDescent="0.25">
      <c r="A159" t="s">
        <v>1939</v>
      </c>
    </row>
    <row r="160" spans="1:1" x14ac:dyDescent="0.25">
      <c r="A160" t="s">
        <v>1940</v>
      </c>
    </row>
    <row r="161" spans="1:1" x14ac:dyDescent="0.25">
      <c r="A161" t="s">
        <v>1941</v>
      </c>
    </row>
    <row r="162" spans="1:1" x14ac:dyDescent="0.25">
      <c r="A162" t="s">
        <v>1942</v>
      </c>
    </row>
    <row r="163" spans="1:1" x14ac:dyDescent="0.25">
      <c r="A163" t="s">
        <v>1943</v>
      </c>
    </row>
    <row r="164" spans="1:1" x14ac:dyDescent="0.25">
      <c r="A164" t="s">
        <v>1944</v>
      </c>
    </row>
    <row r="165" spans="1:1" x14ac:dyDescent="0.25">
      <c r="A165" t="s">
        <v>1945</v>
      </c>
    </row>
    <row r="166" spans="1:1" x14ac:dyDescent="0.25">
      <c r="A166" t="s">
        <v>1946</v>
      </c>
    </row>
    <row r="167" spans="1:1" x14ac:dyDescent="0.25">
      <c r="A167" t="s">
        <v>1947</v>
      </c>
    </row>
    <row r="168" spans="1:1" x14ac:dyDescent="0.25">
      <c r="A168" t="s">
        <v>1948</v>
      </c>
    </row>
    <row r="170" spans="1:1" x14ac:dyDescent="0.25">
      <c r="A170" t="s">
        <v>1949</v>
      </c>
    </row>
    <row r="171" spans="1:1" x14ac:dyDescent="0.25">
      <c r="A171" t="s">
        <v>1950</v>
      </c>
    </row>
    <row r="172" spans="1:1" x14ac:dyDescent="0.25">
      <c r="A172" t="s">
        <v>1951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README</vt:lpstr>
      <vt:lpstr>Summary</vt:lpstr>
      <vt:lpstr>IA</vt:lpstr>
      <vt:lpstr>Popups</vt:lpstr>
      <vt:lpstr>Notifications</vt:lpstr>
      <vt:lpstr>Emails</vt:lpstr>
      <vt:lpstr>Gaps</vt:lpstr>
      <vt:lpstr>Decisions</vt:lpstr>
      <vt:lpstr>Assets</vt:lpstr>
      <vt:lpstr>Domain</vt:lpstr>
      <vt:lpstr>Go-live plan</vt:lpstr>
      <vt:lpstr>Gates</vt:lpstr>
      <vt:lpstr>LaunchGates</vt:lpstr>
      <vt:lpstr>Enterprise Operating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Nikhil Deshpande</cp:lastModifiedBy>
  <dcterms:modified xsi:type="dcterms:W3CDTF">2026-08-01T05:21:23Z</dcterms:modified>
</cp:coreProperties>
</file>